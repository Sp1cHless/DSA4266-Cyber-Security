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887f0847f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3a95ced0a246f3"/>
    <x:sheet xmlns:r="http://schemas.openxmlformats.org/officeDocument/2006/relationships" name="Split" sheetId="2" r:id="R9459b84ce5db4a82"/>
    <x:sheet xmlns:r="http://schemas.openxmlformats.org/officeDocument/2006/relationships" name="Composition" sheetId="3" r:id="R929c7f7e00854c0c"/>
    <x:sheet xmlns:r="http://schemas.openxmlformats.org/officeDocument/2006/relationships" name="Attack coverage" sheetId="4" r:id="R06dc60a65fe44905"/>
    <x:sheet xmlns:r="http://schemas.openxmlformats.org/officeDocument/2006/relationships" name="Features" sheetId="5" r:id="R734e65679064477e"/>
    <x:sheet xmlns:r="http://schemas.openxmlformats.org/officeDocument/2006/relationships" name="Checks" sheetId="6" r:id="R41a4e7e0836e404f"/>
    <x:sheet xmlns:r="http://schemas.openxmlformats.org/officeDocument/2006/relationships" name="Method" sheetId="7" r:id="R084226367622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00000"/>
    <x:numFmt numFmtId="203" formatCode="yyyy-mm-dd hh:mm:ss"/>
  </x:numFmts>
  <x:fonts count="5">
    <x:font>
      <x:sz val="11"/>
      <x:name val="Carlito"/>
    </x:font>
    <x:font>
      <x:sz val="10"/>
      <x:color rgb="FF233344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b/>
      <x:sz val="12"/>
      <x:color rgb="FF1732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8654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f959e9474417a" /><Relationship Type="http://schemas.openxmlformats.org/officeDocument/2006/relationships/theme" Target="/xl/theme/theme1.xml" Id="R28b1c8a8fc7a4526" /><Relationship Type="http://schemas.microsoft.com/office/2022/11/relationships/FeaturePropertyBag" Target="/xl/featurePropertyBag/featurePropertyBag.xml" Id="Rf25b4b168be947a4" /><Relationship Type="http://schemas.openxmlformats.org/officeDocument/2006/relationships/sharedStrings" Target="/xl/sharedStrings.xml" Id="Re0503db391f041c8" /><Relationship Type="http://schemas.openxmlformats.org/officeDocument/2006/relationships/worksheet" Target="/xl/worksheets/sheet1.xml" Id="R693a95ced0a246f3" /><Relationship Type="http://schemas.openxmlformats.org/officeDocument/2006/relationships/worksheet" Target="/xl/worksheets/sheet2.xml" Id="R9459b84ce5db4a82" /><Relationship Type="http://schemas.openxmlformats.org/officeDocument/2006/relationships/worksheet" Target="/xl/worksheets/sheet3.xml" Id="R929c7f7e00854c0c" /><Relationship Type="http://schemas.openxmlformats.org/officeDocument/2006/relationships/worksheet" Target="/xl/worksheets/sheet4.xml" Id="R06dc60a65fe44905" /><Relationship Type="http://schemas.openxmlformats.org/officeDocument/2006/relationships/worksheet" Target="/xl/worksheets/sheet5.xml" Id="R734e65679064477e" /><Relationship Type="http://schemas.openxmlformats.org/officeDocument/2006/relationships/worksheet" Target="/xl/worksheets/sheet6.xml" Id="R41a4e7e0836e404f" /><Relationship Type="http://schemas.openxmlformats.org/officeDocument/2006/relationships/worksheet" Target="/xl/worksheets/sheet7.xml" Id="R0842263676224a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BucketReport0" displayName="BucketReport0" ref="A4:I7" headerRowCount="1" totalsRowCount="0" totalsRowShown="0">
  <x:autoFilter ref="A4:I7"/>
  <x:tableColumns count="9">
    <x:tableColumn id="1" name="Split"/>
    <x:tableColumn id="2" name="Sequences"/>
    <x:tableColumn id="3" name="Positive sequences"/>
    <x:tableColumn id="4" name="Positive share"/>
    <x:tableColumn id="5" name="Real sequences"/>
    <x:tableColumn id="6" name="Synthetic sequences"/>
    <x:tableColumn id="7" name="Bucket positions"/>
    <x:tableColumn id="8" name="Active buckets"/>
    <x:tableColumn id="9" name="Mean occupa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BucketReport1" displayName="BucketReport1" ref="A4:H8" headerRowCount="1" totalsRowCount="0" totalsRowShown="0">
  <x:autoFilter ref="A4:H8"/>
  <x:tableColumns count="8">
    <x:tableColumn id="1" name="Split"/>
    <x:tableColumn id="2" name="Sequences"/>
    <x:tableColumn id="3" name="Positive sequences"/>
    <x:tableColumn id="4" name="Retained share"/>
    <x:tableColumn id="5" name="Original share"/>
    <x:tableColumn id="6" name="Flows"/>
    <x:tableColumn id="7" name="Attack flows"/>
    <x:tableColumn id="8" name="Sour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plitAttackCoverage" displayName="SplitAttackCoverage" ref="A13:F27" headerRowCount="1" totalsRowCount="0" totalsRowShown="0">
  <x:autoFilter ref="A13:F27"/>
  <x:tableColumns count="6">
    <x:tableColumn id="1" name="Attack type"/>
    <x:tableColumn id="2" name="Train windows"/>
    <x:tableColumn id="3" name="Validation windows"/>
    <x:tableColumn id="4" name="Test windows"/>
    <x:tableColumn id="5" name="Validation unseen"/>
    <x:tableColumn id="6" name="Test unse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BucketReport2" displayName="BucketReport2" ref="A4:J12" headerRowCount="1" totalsRowCount="0" totalsRowShown="0">
  <x:autoFilter ref="A4:J12"/>
  <x:tableColumns count="10">
    <x:tableColumn id="1" name="Split"/>
    <x:tableColumn id="2" name="Sample type"/>
    <x:tableColumn id="3" name="Sequences"/>
    <x:tableColumn id="4" name="Positive sequences"/>
    <x:tableColumn id="5" name="Bucket positions"/>
    <x:tableColumn id="6" name="Flow presentations"/>
    <x:tableColumn id="7" name="Attack flow presentations"/>
    <x:tableColumn id="8" name="Active buckets"/>
    <x:tableColumn id="9" name="Mean occupancy"/>
    <x:tableColumn id="10" name="Mixed bucke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cketReport3" displayName="BucketReport3" ref="A4:G46" headerRowCount="1" totalsRowCount="0" totalsRowShown="0">
  <x:autoFilter ref="A4:G46"/>
  <x:tableColumns count="7">
    <x:tableColumn id="1" name="Attack type"/>
    <x:tableColumn id="2" name="Split"/>
    <x:tableColumn id="3" name="Real sequences"/>
    <x:tableColumn id="4" name="Real sources"/>
    <x:tableColumn id="5" name="Real attack flows"/>
    <x:tableColumn id="6" name="Synthetic selected"/>
    <x:tableColumn id="7" name="Synthetic contain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ucketReport4" displayName="BucketReport4" ref="A4:H232" headerRowCount="1" totalsRowCount="0" totalsRowShown="0">
  <x:autoFilter ref="A4:H232"/>
  <x:tableColumns count="8">
    <x:tableColumn id="1" name="Index"/>
    <x:tableColumn id="2" name="Feature"/>
    <x:tableColumn id="3" name="Family"/>
    <x:tableColumn id="4" name="Definition"/>
    <x:tableColumn id="5" name="Log1p"/>
    <x:tableColumn id="6" name="Train mean after log"/>
    <x:tableColumn id="7" name="Train scale"/>
    <x:tableColumn id="8" name="Train consta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ucketReport5" displayName="BucketReport5" ref="A4:D26" headerRowCount="1" totalsRowCount="0" totalsRowShown="0">
  <x:autoFilter ref="A4:D26"/>
  <x:tableColumns count="4">
    <x:tableColumn id="1" name="Check"/>
    <x:tableColumn id="2" name="Expected"/>
    <x:tableColumn id="3" name="Observed"/>
    <x:tableColumn id="4" name="Pass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ucketReport6" displayName="BucketReport6" ref="A4:B28" headerRowCount="1" totalsRowCount="0" totalsRowShown="0">
  <x:autoFilter ref="A4:B28"/>
  <x:tableColumns count="2">
    <x:tableColumn id="1" name="Item"/>
    <x:tableColumn id="2" name="Definition or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1559d166b043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46733990eb4a63" /><Relationship Type="http://schemas.openxmlformats.org/officeDocument/2006/relationships/table" Target="/xl/tables/table3.xml" Id="R6a2aad305d2d42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46064799bee94e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d91c706e9aaf49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589ec5ccc2f44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00e410ea228e47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0d89ac790500484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  <x:col min="6" max="6" width="24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CIC dataset build: global time-block split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44" customHeight="1">
      <x:c r="A4" s="7" t="str">
        <x:v>Split</x:v>
      </x:c>
      <x:c r="B4" s="7" t="str">
        <x:v>Sequences</x:v>
      </x:c>
      <x:c r="C4" s="7" t="str">
        <x:v>Positive sequences</x:v>
      </x:c>
      <x:c r="D4" s="7" t="str">
        <x:v>Positive share</x:v>
      </x:c>
      <x:c r="E4" s="7" t="str">
        <x:v>Real sequences</x:v>
      </x:c>
      <x:c r="F4" s="7" t="str">
        <x:v>Synthetic sequences</x:v>
      </x:c>
      <x:c r="G4" s="7" t="str">
        <x:v>Bucket positions</x:v>
      </x:c>
      <x:c r="H4" s="7" t="str">
        <x:v>Active buckets</x:v>
      </x:c>
      <x:c r="I4" s="7" t="str">
        <x:v>Mean occupancy</x:v>
      </x:c>
    </x:row>
    <x:row r="5" ht="25" customHeight="1">
      <x:c r="A5" s="8" t="str">
        <x:v>train</x:v>
      </x:c>
      <x:c r="B5" s="8" t="n">
        <x:f>SUMIFS('Composition'!C5:C12,'Composition'!$A$5:$A$12,A5)</x:f>
        <x:v>781838</x:v>
      </x:c>
      <x:c r="C5" s="8" t="n">
        <x:f>SUMIFS('Composition'!D5:D12,'Composition'!$A$5:$A$12,A5)</x:f>
        <x:v>16186</x:v>
      </x:c>
      <x:c r="D5" s="9" t="n">
        <x:f>IF(B5=0,"n.a.",C5/B5)</x:f>
        <x:v>0.02070249847155037</x:v>
      </x:c>
      <x:c r="E5" s="8" t="n">
        <x:f>SUMIFS('Composition'!C5:C12,'Composition'!$A$5:$A$12,A5,'Composition'!B5:B12,"real_benign")+SUMIFS('Composition'!C5:C12,'Composition'!$A$5:$A$12,A5,'Composition'!B5:B12,"real_malicious")</x:f>
        <x:v>765652</x:v>
      </x:c>
      <x:c r="F5" s="8" t="n">
        <x:f>B5-E5</x:f>
        <x:v>16186</x:v>
      </x:c>
      <x:c r="G5" s="8" t="n">
        <x:f>SUMIFS('Composition'!E5:E12,'Composition'!$A$5:$A$12,A5)</x:f>
        <x:v>7818380</x:v>
      </x:c>
      <x:c r="H5" s="8" t="n">
        <x:f>SUMIFS('Composition'!H5:H12,'Composition'!$A$5:$A$12,A5)</x:f>
        <x:v>2063478</x:v>
      </x:c>
      <x:c r="I5" s="9" t="n">
        <x:f>IF(G5=0,"n.a.",H5/G5)</x:f>
        <x:v>0.2639265423271829</x:v>
      </x:c>
    </x:row>
    <x:row r="6" ht="25" customHeight="1">
      <x:c r="A6" s="8" t="str">
        <x:v>validation</x:v>
      </x:c>
      <x:c r="B6" s="8" t="n">
        <x:f>SUMIFS('Composition'!C5:C12,'Composition'!$A$5:$A$12,A6)</x:f>
        <x:v>251146</x:v>
      </x:c>
      <x:c r="C6" s="8" t="n">
        <x:f>SUMIFS('Composition'!D5:D12,'Composition'!$A$5:$A$12,A6)</x:f>
        <x:v>917</x:v>
      </x:c>
      <x:c r="D6" s="9" t="n">
        <x:f>IF(B6=0,"n.a.",C6/B6)</x:f>
        <x:v>0.0036512626121857406</x:v>
      </x:c>
      <x:c r="E6" s="8" t="n">
        <x:f>SUMIFS('Composition'!C5:C12,'Composition'!$A$5:$A$12,A6,'Composition'!B5:B12,"real_benign")+SUMIFS('Composition'!C5:C12,'Composition'!$A$5:$A$12,A6,'Composition'!B5:B12,"real_malicious")</x:f>
        <x:v>251146</x:v>
      </x:c>
      <x:c r="F6" s="8" t="n">
        <x:f>B6-E6</x:f>
        <x:v>0</x:v>
      </x:c>
      <x:c r="G6" s="8" t="n">
        <x:f>SUMIFS('Composition'!E5:E12,'Composition'!$A$5:$A$12,A6)</x:f>
        <x:v>2511460</x:v>
      </x:c>
      <x:c r="H6" s="8" t="n">
        <x:f>SUMIFS('Composition'!H5:H12,'Composition'!$A$5:$A$12,A6)</x:f>
        <x:v>581336</x:v>
      </x:c>
      <x:c r="I6" s="9" t="n">
        <x:f>IF(G6=0,"n.a.",H6/G6)</x:f>
        <x:v>0.23147332627236747</x:v>
      </x:c>
    </x:row>
    <x:row r="7" ht="25" customHeight="1">
      <x:c r="A7" s="8" t="str">
        <x:v>test</x:v>
      </x:c>
      <x:c r="B7" s="8" t="n">
        <x:f>SUMIFS('Composition'!C5:C12,'Composition'!$A$5:$A$12,A7)</x:f>
        <x:v>263125</x:v>
      </x:c>
      <x:c r="C7" s="8" t="n">
        <x:f>SUMIFS('Composition'!D5:D12,'Composition'!$A$5:$A$12,A7)</x:f>
        <x:v>851</x:v>
      </x:c>
      <x:c r="D7" s="9" t="n">
        <x:f>IF(B7=0,"n.a.",C7/B7)</x:f>
        <x:v>0.0032342042755344417</x:v>
      </x:c>
      <x:c r="E7" s="8" t="n">
        <x:f>SUMIFS('Composition'!C5:C12,'Composition'!$A$5:$A$12,A7,'Composition'!B5:B12,"real_benign")+SUMIFS('Composition'!C5:C12,'Composition'!$A$5:$A$12,A7,'Composition'!B5:B12,"real_malicious")</x:f>
        <x:v>263125</x:v>
      </x:c>
      <x:c r="F7" s="8" t="n">
        <x:f>B7-E7</x:f>
        <x:v>0</x:v>
      </x:c>
      <x:c r="G7" s="8" t="n">
        <x:f>SUMIFS('Composition'!E5:E12,'Composition'!$A$5:$A$12,A7)</x:f>
        <x:v>2631250</x:v>
      </x:c>
      <x:c r="H7" s="8" t="n">
        <x:f>SUMIFS('Composition'!H5:H12,'Composition'!$A$5:$A$12,A7)</x:f>
        <x:v>621927</x:v>
      </x:c>
      <x:c r="I7" s="9" t="n">
        <x:f>IF(G7=0,"n.a.",H7/G7)</x:f>
        <x:v>0.2363618052256532</x:v>
      </x:c>
    </x:row>
    <x:row r="10" ht="36" customHeight="1">
      <x:c r="A10" s="10" t="str">
        <x:v>Build metric</x:v>
      </x:c>
      <x:c r="B10" s="10" t="str">
        <x:v>Value</x:v>
      </x:c>
      <x:c r="C10" s="2"/>
      <x:c r="D10" s="2"/>
      <x:c r="E10" s="2"/>
      <x:c r="F10" s="2"/>
      <x:c r="G10" s="2"/>
      <x:c r="H10" s="2"/>
      <x:c r="I10" s="2"/>
    </x:row>
    <x:row r="11" ht="25" customHeight="1">
      <x:c r="A11" s="2" t="str">
        <x:v>Original training N</x:v>
      </x:c>
      <x:c r="B11" s="8" t="n">
        <x:v>765652</x:v>
      </x:c>
      <x:c r="C11" s="2"/>
      <x:c r="D11" s="11" t="str">
        <x:v>Global 15min blocks; 100s guards and actual flow-end exclusions. See Split for original proportions.</x:v>
      </x:c>
      <x:c r="E11" s="2"/>
      <x:c r="F11" s="2"/>
      <x:c r="G11" s="2"/>
      <x:c r="H11" s="2"/>
      <x:c r="I11" s="2"/>
    </x:row>
    <x:row r="12" ht="25" customHeight="1">
      <x:c r="A12" s="2" t="str">
        <x:v>Original training positives P</x:v>
      </x:c>
      <x:c r="B12" s="8" t="n">
        <x:v>8093</x:v>
      </x:c>
      <x:c r="C12" s="2"/>
      <x:c r="D12" s="11" t="str">
        <x:v>Keep all retained original training windows; append P B+A and P B+B.</x:v>
      </x:c>
      <x:c r="E12" s="2"/>
      <x:c r="F12" s="2"/>
      <x:c r="G12" s="2"/>
      <x:c r="H12" s="2"/>
      <x:c r="I12" s="2"/>
    </x:row>
    <x:row r="13" ht="25" customHeight="1">
      <x:c r="A13" s="2" t="str">
        <x:v>Synthetic B+A</x:v>
      </x:c>
      <x:c r="B13" s="8" t="n">
        <x:v>8093</x:v>
      </x:c>
      <x:c r="C13" s="2"/>
      <x:c r="D13" s="11" t="str">
        <x:v>Validation/test are original-only. Batch balance is not imposed here.</x:v>
      </x:c>
      <x:c r="E13" s="2"/>
      <x:c r="F13" s="2"/>
      <x:c r="G13" s="2"/>
      <x:c r="H13" s="2"/>
      <x:c r="I13" s="2"/>
    </x:row>
    <x:row r="14" ht="25" customHeight="1">
      <x:c r="A14" s="2" t="str">
        <x:v>Synthetic B+B</x:v>
      </x:c>
      <x:c r="B14" s="8" t="n">
        <x:v>8093</x:v>
      </x:c>
      <x:c r="C14" s="2"/>
      <x:c r="D14" s="11" t="str">
        <x:v>Flow presentations include donor reuse; they are not unique source flows.</x:v>
      </x:c>
      <x:c r="E14" s="2"/>
      <x:c r="F14" s="2"/>
      <x:c r="G14" s="2"/>
      <x:c r="H14" s="2"/>
      <x:c r="I14" s="2"/>
    </x:row>
    <x:row r="15" ht="25" customHeight="1">
      <x:c r="A15" s="2" t="str">
        <x:v>Feature columns (without mask)</x:v>
      </x:c>
      <x:c r="B15" s="8" t="n">
        <x:v>228</x:v>
      </x:c>
      <x:c r="C15" s="2"/>
      <x:c r="D15" s="11" t="str">
        <x:v>Features are direct numeric statistics and L7 ratios. No embedding or L2 is required.</x:v>
      </x:c>
      <x:c r="E15" s="2"/>
      <x:c r="F15" s="2"/>
      <x:c r="G15" s="2"/>
      <x:c r="H15" s="2"/>
      <x:c r="I15" s="2"/>
    </x:row>
    <x:row r="16" ht="25" customHeight="1">
      <x:c r="A16" s="2" t="str">
        <x:v>L7 slots including UNK</x:v>
      </x:c>
      <x:c r="B16" s="8" t="n">
        <x:v>146</x:v>
      </x:c>
      <x:c r="C16" s="2"/>
      <x:c r="D16" s="2"/>
      <x:c r="E16" s="2"/>
      <x:c r="F16" s="2"/>
      <x:c r="G16" s="2"/>
      <x:c r="H16" s="2"/>
      <x:c r="I16" s="2"/>
    </x:row>
    <x:row r="17" ht="25" customHeight="1">
      <x:c r="A17" s="2" t="str">
        <x:v>Buckets per sequence</x:v>
      </x:c>
      <x:c r="B17" s="8" t="n">
        <x:v>10</x:v>
      </x:c>
      <x:c r="C17" s="2"/>
      <x:c r="D17" s="2"/>
      <x:c r="E17" s="2"/>
      <x:c r="F17" s="2"/>
      <x:c r="G17" s="2"/>
      <x:c r="H17" s="2"/>
      <x:c r="I17" s="2"/>
    </x:row>
    <x:row r="18" ht="25" customHeight="1">
      <x:c r="A18" s="2" t="str">
        <x:v>Scaler-fit active buckets</x:v>
      </x:c>
      <x:c r="B18" s="8" t="n">
        <x:v>1958143</x:v>
      </x:c>
      <x:c r="C18" s="2"/>
      <x:c r="D18" s="2"/>
      <x:c r="E18" s="2"/>
      <x:c r="F18" s="2"/>
      <x:c r="G18" s="2"/>
      <x:c r="H18" s="2"/>
      <x:c r="I18" s="2"/>
    </x:row>
    <x:row r="19" ht="25" customHeight="1">
      <x:c r="A19" s="2" t="str">
        <x:v>Unique source flows</x:v>
      </x:c>
      <x:c r="B19" s="8" t="n">
        <x:v>20115529</x:v>
      </x:c>
      <x:c r="C19" s="2"/>
      <x:c r="D19" s="2"/>
      <x:c r="E19" s="2"/>
      <x:c r="F19" s="2"/>
      <x:c r="G19" s="2"/>
      <x:c r="H19" s="2"/>
      <x:c r="I19" s="2"/>
    </x:row>
    <x:row r="20" ht="25" customHeight="1">
      <x:c r="A20" s="2" t="str">
        <x:v>Unique source attack flows</x:v>
      </x:c>
      <x:c r="B20" s="8" t="n">
        <x:v>2600903</x:v>
      </x:c>
      <x:c r="C20" s="2"/>
      <x:c r="D20" s="2"/>
      <x:c r="E20" s="2"/>
      <x:c r="F20" s="2"/>
      <x:c r="G20" s="2"/>
      <x:c r="H20" s="2"/>
      <x:c r="I20" s="2"/>
    </x:row>
    <x:row r="21" ht="25" customHeight="1">
      <x:c r="A21" s="2" t="str">
        <x:v>Excluded original sequences</x:v>
      </x:c>
      <x:c r="B21" s="8" t="n">
        <x:v>186742</x:v>
      </x:c>
      <x:c r="C21" s="2"/>
      <x:c r="D21" s="2"/>
      <x:c r="E21" s="2"/>
      <x:c r="F21" s="2"/>
      <x:c r="G21" s="2"/>
      <x:c r="H21" s="2"/>
      <x:c r="I21" s="2"/>
    </x:row>
    <x:row r="22" ht="25" customHeight="1">
      <x:c r="A22" s="2" t="str">
        <x:v>Excluded original flows</x:v>
      </x:c>
      <x:c r="B22" s="8" t="n">
        <x:v>3543806</x:v>
      </x:c>
      <x:c r="C22" s="2"/>
      <x:c r="D22" s="2"/>
      <x:c r="E22" s="2"/>
      <x:c r="F22" s="2"/>
      <x:c r="G22" s="2"/>
      <x:c r="H22" s="2"/>
      <x:c r="I22" s="2"/>
    </x:row>
  </x:sheetData>
  <x:pageMargins left="0.7" right="0.7" top="0.75" bottom="0.75" header="0.3" footer="0.3"/>
  <x:tableParts count="1">
    <x:tablePart xmlns:r="http://schemas.openxmlformats.org/officeDocument/2006/relationships" r:id="Rd91559d166b043b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Original data after boundary exclusions; before augmentation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44" customHeight="1">
      <x:c r="A4" s="7" t="str">
        <x:v>Split</x:v>
      </x:c>
      <x:c r="B4" s="7" t="str">
        <x:v>Sequences</x:v>
      </x:c>
      <x:c r="C4" s="7" t="str">
        <x:v>Positive sequences</x:v>
      </x:c>
      <x:c r="D4" s="7" t="str">
        <x:v>Retained share</x:v>
      </x:c>
      <x:c r="E4" s="7" t="str">
        <x:v>Original share</x:v>
      </x:c>
      <x:c r="F4" s="7" t="str">
        <x:v>Flows</x:v>
      </x:c>
      <x:c r="G4" s="7" t="str">
        <x:v>Attack flows</x:v>
      </x:c>
      <x:c r="H4" s="7" t="str">
        <x:v>Sources</x:v>
      </x:c>
    </x:row>
    <x:row r="5" ht="25" customHeight="1">
      <x:c r="A5" s="8" t="str">
        <x:v>train</x:v>
      </x:c>
      <x:c r="B5" s="8" t="n">
        <x:v>765652</x:v>
      </x:c>
      <x:c r="C5" s="8" t="n">
        <x:v>8093</x:v>
      </x:c>
      <x:c r="D5" s="12" t="n">
        <x:f>IF(A5="excluded","n.a.",B5/SUM(B5:B7))</x:f>
        <x:v>0.5982016105656356</x:v>
      </x:c>
      <x:c r="E5" s="9" t="n">
        <x:f>B5/1466665</x:f>
        <x:v>0.5220360477682361</x:v>
      </x:c>
      <x:c r="F5" s="8" t="n">
        <x:v>10088418</x:v>
      </x:c>
      <x:c r="G5" s="8" t="n">
        <x:v>1064903</x:v>
      </x:c>
      <x:c r="H5" s="8" t="n">
        <x:v>118454</x:v>
      </x:c>
    </x:row>
    <x:row r="6" ht="25" customHeight="1">
      <x:c r="A6" s="8" t="str">
        <x:v>validation</x:v>
      </x:c>
      <x:c r="B6" s="8" t="n">
        <x:v>251146</x:v>
      </x:c>
      <x:c r="C6" s="8" t="n">
        <x:v>917</x:v>
      </x:c>
      <x:c r="D6" s="12" t="n">
        <x:f>IF(A6="excluded","n.a.",B6/SUM(B5:B7))</x:f>
        <x:v>0.19621961633629523</x:v>
      </x:c>
      <x:c r="E6" s="9" t="n">
        <x:f>B6/1466665</x:f>
        <x:v>0.17123610367739053</x:v>
      </x:c>
      <x:c r="F6" s="8" t="n">
        <x:v>3224641</x:v>
      </x:c>
      <x:c r="G6" s="8" t="n">
        <x:v>545002</x:v>
      </x:c>
      <x:c r="H6" s="8" t="n">
        <x:v>56659</x:v>
      </x:c>
    </x:row>
    <x:row r="7" ht="25" customHeight="1">
      <x:c r="A7" s="8" t="str">
        <x:v>test</x:v>
      </x:c>
      <x:c r="B7" s="8" t="n">
        <x:v>263125</x:v>
      </x:c>
      <x:c r="C7" s="8" t="n">
        <x:v>851</x:v>
      </x:c>
      <x:c r="D7" s="12" t="n">
        <x:f>IF(A7="excluded","n.a.",B7/SUM(B5:B7))</x:f>
        <x:v>0.20557877309806918</x:v>
      </x:c>
      <x:c r="E7" s="9" t="n">
        <x:f>B7/1466665</x:f>
        <x:v>0.1794036129586511</x:v>
      </x:c>
      <x:c r="F7" s="8" t="n">
        <x:v>3258664</x:v>
      </x:c>
      <x:c r="G7" s="8" t="n">
        <x:v>406754</x:v>
      </x:c>
      <x:c r="H7" s="8" t="n">
        <x:v>57802</x:v>
      </x:c>
    </x:row>
    <x:row r="8" ht="25" customHeight="1">
      <x:c r="A8" s="8" t="str">
        <x:v>excluded</x:v>
      </x:c>
      <x:c r="B8" s="8" t="n">
        <x:v>186742</x:v>
      </x:c>
      <x:c r="C8" s="8" t="n">
        <x:v>1057</x:v>
      </x:c>
      <x:c r="D8" s="12" t="str">
        <x:f>IF(A8="excluded","n.a.",B8/SUM(B5:B7))</x:f>
        <x:v>n.a.</x:v>
      </x:c>
      <x:c r="E8" s="9" t="n">
        <x:f>B8/1466665</x:f>
        <x:v>0.12732423559572226</x:v>
      </x:c>
      <x:c r="F8" s="8" t="n">
        <x:v>3543806</x:v>
      </x:c>
      <x:c r="G8" s="8" t="n">
        <x:v>584244</x:v>
      </x:c>
      <x:c r="H8" s="8" t="n">
        <x:v>44545</x:v>
      </x:c>
    </x:row>
    <x:row r="11">
      <x:c r="A11" s="13" t="str">
        <x:v>Attack coverage after exclusions</x:v>
      </x:c>
    </x:row>
    <x:row r="13" ht="44" customHeight="1">
      <x:c r="A13" s="7" t="str">
        <x:v>Attack type</x:v>
      </x:c>
      <x:c r="B13" s="7" t="str">
        <x:v>Train windows</x:v>
      </x:c>
      <x:c r="C13" s="7" t="str">
        <x:v>Validation windows</x:v>
      </x:c>
      <x:c r="D13" s="7" t="str">
        <x:v>Test windows</x:v>
      </x:c>
      <x:c r="E13" s="7" t="str">
        <x:v>Validation unseen</x:v>
      </x:c>
      <x:c r="F13" s="7" t="str">
        <x:v>Test unseen</x:v>
      </x:c>
    </x:row>
    <x:row r="14" ht="25" customHeight="1">
      <x:c r="A14" s="1" t="str">
        <x:v>Bot</x:v>
      </x:c>
      <x:c r="B14" s="18" t="n">
        <x:v>1219</x:v>
      </x:c>
      <x:c r="C14" s="18" t="n">
        <x:v>56</x:v>
      </x:c>
      <x:c r="D14" s="18" t="n">
        <x:v>49</x:v>
      </x:c>
      <x:c r="E14" s="19" t="str">
        <x:v>no</x:v>
      </x:c>
      <x:c r="F14" s="19" t="str">
        <x:v>no</x:v>
      </x:c>
    </x:row>
    <x:row r="15" ht="25" customHeight="1">
      <x:c r="A15" s="1" t="str">
        <x:v>Brute_Force_-Web</x:v>
      </x:c>
      <x:c r="B15" s="18" t="n">
        <x:v>841</x:v>
      </x:c>
      <x:c r="C15" s="18" t="n">
        <x:v>181</x:v>
      </x:c>
      <x:c r="D15" s="18" t="n">
        <x:v>166</x:v>
      </x:c>
      <x:c r="E15" s="19" t="str">
        <x:v>no</x:v>
      </x:c>
      <x:c r="F15" s="19" t="str">
        <x:v>no</x:v>
      </x:c>
    </x:row>
    <x:row r="16" ht="25" customHeight="1">
      <x:c r="A16" s="1" t="str">
        <x:v>Brute_Force_-XSS</x:v>
      </x:c>
      <x:c r="B16" s="18" t="n">
        <x:v>253</x:v>
      </x:c>
      <x:c r="C16" s="18" t="n">
        <x:v>55</x:v>
      </x:c>
      <x:c r="D16" s="18" t="n">
        <x:v>70</x:v>
      </x:c>
      <x:c r="E16" s="19" t="str">
        <x:v>no</x:v>
      </x:c>
      <x:c r="F16" s="19" t="str">
        <x:v>no</x:v>
      </x:c>
    </x:row>
    <x:row r="17" ht="25" customHeight="1">
      <x:c r="A17" s="1" t="str">
        <x:v>DDOS_attack-HOIC</x:v>
      </x:c>
      <x:c r="B17" s="18" t="n">
        <x:v>81</x:v>
      </x:c>
      <x:c r="C17" s="18" t="n">
        <x:v>94</x:v>
      </x:c>
      <x:c r="D17" s="18" t="n">
        <x:v>65</x:v>
      </x:c>
      <x:c r="E17" s="19" t="str">
        <x:v>no</x:v>
      </x:c>
      <x:c r="F17" s="19" t="str">
        <x:v>no</x:v>
      </x:c>
    </x:row>
    <x:row r="18" ht="25" customHeight="1">
      <x:c r="A18" s="1" t="str">
        <x:v>DDOS_attack-LOIC-UDP</x:v>
      </x:c>
      <x:c r="B18" s="18" t="n">
        <x:v>60</x:v>
      </x:c>
      <x:c r="C18" s="18" t="n">
        <x:v>54</x:v>
      </x:c>
      <x:c r="D18" s="18" t="n">
        <x:v>14</x:v>
      </x:c>
      <x:c r="E18" s="19" t="str">
        <x:v>no</x:v>
      </x:c>
      <x:c r="F18" s="19" t="str">
        <x:v>no</x:v>
      </x:c>
    </x:row>
    <x:row r="19" ht="25" customHeight="1">
      <x:c r="A19" s="1" t="str">
        <x:v>DDoS_attacks-LOIC-HTTP</x:v>
      </x:c>
      <x:c r="B19" s="18" t="n">
        <x:v>141</x:v>
      </x:c>
      <x:c r="C19" s="18" t="n">
        <x:v>64</x:v>
      </x:c>
      <x:c r="D19" s="18" t="n">
        <x:v>110</x:v>
      </x:c>
      <x:c r="E19" s="19" t="str">
        <x:v>no</x:v>
      </x:c>
      <x:c r="F19" s="19" t="str">
        <x:v>no</x:v>
      </x:c>
    </x:row>
    <x:row r="20" ht="25" customHeight="1">
      <x:c r="A20" s="1" t="str">
        <x:v>DoS_attacks-GoldenEye</x:v>
      </x:c>
      <x:c r="B20" s="18" t="n">
        <x:v>6</x:v>
      </x:c>
      <x:c r="C20" s="18" t="n">
        <x:v>2</x:v>
      </x:c>
      <x:c r="D20" s="18" t="n">
        <x:v>6</x:v>
      </x:c>
      <x:c r="E20" s="19" t="str">
        <x:v>no</x:v>
      </x:c>
      <x:c r="F20" s="19" t="str">
        <x:v>no</x:v>
      </x:c>
    </x:row>
    <x:row r="21" ht="25" customHeight="1">
      <x:c r="A21" s="1" t="str">
        <x:v>DoS_attacks-Hulk</x:v>
      </x:c>
      <x:c r="B21" s="18" t="n">
        <x:v>6</x:v>
      </x:c>
      <x:c r="C21" s="18" t="n">
        <x:v>0</x:v>
      </x:c>
      <x:c r="D21" s="18" t="n">
        <x:v>0</x:v>
      </x:c>
      <x:c r="E21" s="19" t="str">
        <x:v>no</x:v>
      </x:c>
      <x:c r="F21" s="19" t="str">
        <x:v>no</x:v>
      </x:c>
    </x:row>
    <x:row r="22" ht="25" customHeight="1">
      <x:c r="A22" s="1" t="str">
        <x:v>DoS_attacks-SlowHTTPTest</x:v>
      </x:c>
      <x:c r="B22" s="18" t="n">
        <x:v>13</x:v>
      </x:c>
      <x:c r="C22" s="18" t="n">
        <x:v>7</x:v>
      </x:c>
      <x:c r="D22" s="18" t="n">
        <x:v>7</x:v>
      </x:c>
      <x:c r="E22" s="19" t="str">
        <x:v>no</x:v>
      </x:c>
      <x:c r="F22" s="19" t="str">
        <x:v>no</x:v>
      </x:c>
    </x:row>
    <x:row r="23" ht="25" customHeight="1">
      <x:c r="A23" s="1" t="str">
        <x:v>DoS_attacks-Slowloris</x:v>
      </x:c>
      <x:c r="B23" s="18" t="n">
        <x:v>6</x:v>
      </x:c>
      <x:c r="C23" s="18" t="n">
        <x:v>16</x:v>
      </x:c>
      <x:c r="D23" s="18" t="n">
        <x:v>0</x:v>
      </x:c>
      <x:c r="E23" s="19" t="str">
        <x:v>no</x:v>
      </x:c>
      <x:c r="F23" s="19" t="str">
        <x:v>no</x:v>
      </x:c>
    </x:row>
    <x:row r="24" ht="25" customHeight="1">
      <x:c r="A24" s="1" t="str">
        <x:v>FTP-BruteForce</x:v>
      </x:c>
      <x:c r="B24" s="18" t="n">
        <x:v>31</x:v>
      </x:c>
      <x:c r="C24" s="18" t="n">
        <x:v>15</x:v>
      </x:c>
      <x:c r="D24" s="18" t="n">
        <x:v>7</x:v>
      </x:c>
      <x:c r="E24" s="19" t="str">
        <x:v>no</x:v>
      </x:c>
      <x:c r="F24" s="19" t="str">
        <x:v>no</x:v>
      </x:c>
    </x:row>
    <x:row r="25" ht="25" customHeight="1">
      <x:c r="A25" s="1" t="str">
        <x:v>Infilteration</x:v>
      </x:c>
      <x:c r="B25" s="18" t="n">
        <x:v>5468</x:v>
      </x:c>
      <x:c r="C25" s="18" t="n">
        <x:v>366</x:v>
      </x:c>
      <x:c r="D25" s="18" t="n">
        <x:v>334</x:v>
      </x:c>
      <x:c r="E25" s="19" t="str">
        <x:v>no</x:v>
      </x:c>
      <x:c r="F25" s="19" t="str">
        <x:v>no</x:v>
      </x:c>
    </x:row>
    <x:row r="26" ht="25" customHeight="1">
      <x:c r="A26" s="1" t="str">
        <x:v>SQL_Injection</x:v>
      </x:c>
      <x:c r="B26" s="18" t="n">
        <x:v>180</x:v>
      </x:c>
      <x:c r="C26" s="18" t="n">
        <x:v>50</x:v>
      </x:c>
      <x:c r="D26" s="18" t="n">
        <x:v>84</x:v>
      </x:c>
      <x:c r="E26" s="19" t="str">
        <x:v>no</x:v>
      </x:c>
      <x:c r="F26" s="19" t="str">
        <x:v>no</x:v>
      </x:c>
    </x:row>
    <x:row r="27" ht="25" customHeight="1">
      <x:c r="A27" s="1" t="str">
        <x:v>SSH-Bruteforce</x:v>
      </x:c>
      <x:c r="B27" s="18" t="n">
        <x:v>30</x:v>
      </x:c>
      <x:c r="C27" s="18" t="n">
        <x:v>10</x:v>
      </x:c>
      <x:c r="D27" s="18" t="n">
        <x:v>6</x:v>
      </x:c>
      <x:c r="E27" s="19" t="str">
        <x:v>no</x:v>
      </x:c>
      <x:c r="F27" s="19" t="str">
        <x:v>no</x:v>
      </x:c>
    </x:row>
  </x:sheetData>
  <x:conditionalFormatting sqref="C14:D27">
    <x:cfRule type="cellIs" dxfId="0" priority="1" operator="equal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4646733990eb4a63"/>
    <x:tablePart xmlns:r="http://schemas.openxmlformats.org/officeDocument/2006/relationships" r:id="R6a2aad305d2d42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9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8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Real and synthetic data by split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44" customHeight="1">
      <x:c r="A4" s="7" t="str">
        <x:v>Split</x:v>
      </x:c>
      <x:c r="B4" s="7" t="str">
        <x:v>Sample type</x:v>
      </x:c>
      <x:c r="C4" s="7" t="str">
        <x:v>Sequences</x:v>
      </x:c>
      <x:c r="D4" s="7" t="str">
        <x:v>Positive sequences</x:v>
      </x:c>
      <x:c r="E4" s="7" t="str">
        <x:v>Bucket positions</x:v>
      </x:c>
      <x:c r="F4" s="7" t="str">
        <x:v>Flow presentations</x:v>
      </x:c>
      <x:c r="G4" s="7" t="str">
        <x:v>Attack flow presentations</x:v>
      </x:c>
      <x:c r="H4" s="7" t="str">
        <x:v>Active buckets</x:v>
      </x:c>
      <x:c r="I4" s="7" t="str">
        <x:v>Mean occupancy</x:v>
      </x:c>
      <x:c r="J4" s="7" t="str">
        <x:v>Mixed buckets</x:v>
      </x:c>
    </x:row>
    <x:row r="5" ht="25" customHeight="1">
      <x:c r="A5" s="8" t="str">
        <x:v>test</x:v>
      </x:c>
      <x:c r="B5" s="8" t="str">
        <x:v>real_benign</x:v>
      </x:c>
      <x:c r="C5" s="8" t="n">
        <x:v>262274</x:v>
      </x:c>
      <x:c r="D5" s="8" t="n">
        <x:v>0</x:v>
      </x:c>
      <x:c r="E5" s="8" t="n">
        <x:v>2622740</x:v>
      </x:c>
      <x:c r="F5" s="8" t="n">
        <x:v>2844111</x:v>
      </x:c>
      <x:c r="G5" s="8" t="n">
        <x:v>0</x:v>
      </x:c>
      <x:c r="H5" s="8" t="n">
        <x:v>618219</x:v>
      </x:c>
      <x:c r="I5" s="9" t="n">
        <x:v>0.2357149393382493</x:v>
      </x:c>
      <x:c r="J5" s="8" t="n">
        <x:v>0</x:v>
      </x:c>
    </x:row>
    <x:row r="6" ht="25" customHeight="1">
      <x:c r="A6" s="8" t="str">
        <x:v>test</x:v>
      </x:c>
      <x:c r="B6" s="8" t="str">
        <x:v>real_malicious</x:v>
      </x:c>
      <x:c r="C6" s="8" t="n">
        <x:v>851</x:v>
      </x:c>
      <x:c r="D6" s="8" t="n">
        <x:v>851</x:v>
      </x:c>
      <x:c r="E6" s="8" t="n">
        <x:v>8510</x:v>
      </x:c>
      <x:c r="F6" s="8" t="n">
        <x:v>414553</x:v>
      </x:c>
      <x:c r="G6" s="8" t="n">
        <x:v>406754</x:v>
      </x:c>
      <x:c r="H6" s="8" t="n">
        <x:v>3708</x:v>
      </x:c>
      <x:c r="I6" s="9" t="n">
        <x:v>0.43572267920094004</x:v>
      </x:c>
      <x:c r="J6" s="8" t="n">
        <x:v>380</x:v>
      </x:c>
    </x:row>
    <x:row r="7" ht="25" customHeight="1">
      <x:c r="A7" s="8" t="str">
        <x:v>train</x:v>
      </x:c>
      <x:c r="B7" s="8" t="str">
        <x:v>real_benign</x:v>
      </x:c>
      <x:c r="C7" s="8" t="n">
        <x:v>757559</x:v>
      </x:c>
      <x:c r="D7" s="8" t="n">
        <x:v>0</x:v>
      </x:c>
      <x:c r="E7" s="8" t="n">
        <x:v>7575590</x:v>
      </x:c>
      <x:c r="F7" s="8" t="n">
        <x:v>8860535</x:v>
      </x:c>
      <x:c r="G7" s="8" t="n">
        <x:v>0</x:v>
      </x:c>
      <x:c r="H7" s="8" t="n">
        <x:v>1919233</x:v>
      </x:c>
      <x:c r="I7" s="9" t="n">
        <x:v>0.2533443599772427</x:v>
      </x:c>
      <x:c r="J7" s="8" t="n">
        <x:v>0</x:v>
      </x:c>
    </x:row>
    <x:row r="8" ht="25" customHeight="1">
      <x:c r="A8" s="8" t="str">
        <x:v>train</x:v>
      </x:c>
      <x:c r="B8" s="8" t="str">
        <x:v>real_malicious</x:v>
      </x:c>
      <x:c r="C8" s="8" t="n">
        <x:v>8093</x:v>
      </x:c>
      <x:c r="D8" s="8" t="n">
        <x:v>8093</x:v>
      </x:c>
      <x:c r="E8" s="8" t="n">
        <x:v>80930</x:v>
      </x:c>
      <x:c r="F8" s="8" t="n">
        <x:v>1227883</x:v>
      </x:c>
      <x:c r="G8" s="8" t="n">
        <x:v>1064903</x:v>
      </x:c>
      <x:c r="H8" s="8" t="n">
        <x:v>38910</x:v>
      </x:c>
      <x:c r="I8" s="9" t="n">
        <x:v>0.48078586432719633</x:v>
      </x:c>
      <x:c r="J8" s="8" t="n">
        <x:v>7370</x:v>
      </x:c>
    </x:row>
    <x:row r="9" ht="25" customHeight="1">
      <x:c r="A9" s="8" t="str">
        <x:v>train</x:v>
      </x:c>
      <x:c r="B9" s="8" t="str">
        <x:v>synthetic_benign</x:v>
      </x:c>
      <x:c r="C9" s="8" t="n">
        <x:v>8093</x:v>
      </x:c>
      <x:c r="D9" s="8" t="n">
        <x:v>0</x:v>
      </x:c>
      <x:c r="E9" s="8" t="n">
        <x:v>80930</x:v>
      </x:c>
      <x:c r="F9" s="8" t="n">
        <x:v>193699</x:v>
      </x:c>
      <x:c r="G9" s="8" t="n">
        <x:v>0</x:v>
      </x:c>
      <x:c r="H9" s="8" t="n">
        <x:v>43015</x:v>
      </x:c>
      <x:c r="I9" s="9" t="n">
        <x:v>0.5315087112319288</x:v>
      </x:c>
      <x:c r="J9" s="8" t="n">
        <x:v>0</x:v>
      </x:c>
    </x:row>
    <x:row r="10" ht="25" customHeight="1">
      <x:c r="A10" s="8" t="str">
        <x:v>train</x:v>
      </x:c>
      <x:c r="B10" s="8" t="str">
        <x:v>synthetic_malicious</x:v>
      </x:c>
      <x:c r="C10" s="8" t="n">
        <x:v>8093</x:v>
      </x:c>
      <x:c r="D10" s="8" t="n">
        <x:v>8093</x:v>
      </x:c>
      <x:c r="E10" s="8" t="n">
        <x:v>80930</x:v>
      </x:c>
      <x:c r="F10" s="8" t="n">
        <x:v>20860542</x:v>
      </x:c>
      <x:c r="G10" s="8" t="n">
        <x:v>20754165</x:v>
      </x:c>
      <x:c r="H10" s="8" t="n">
        <x:v>62320</x:v>
      </x:c>
      <x:c r="I10" s="9" t="n">
        <x:v>0.7700481897936489</x:v>
      </x:c>
      <x:c r="J10" s="8" t="n">
        <x:v>17011</x:v>
      </x:c>
    </x:row>
    <x:row r="11" ht="25" customHeight="1">
      <x:c r="A11" s="8" t="str">
        <x:v>validation</x:v>
      </x:c>
      <x:c r="B11" s="8" t="str">
        <x:v>real_benign</x:v>
      </x:c>
      <x:c r="C11" s="8" t="n">
        <x:v>250229</x:v>
      </x:c>
      <x:c r="D11" s="8" t="n">
        <x:v>0</x:v>
      </x:c>
      <x:c r="E11" s="8" t="n">
        <x:v>2502290</x:v>
      </x:c>
      <x:c r="F11" s="8" t="n">
        <x:v>2668420</x:v>
      </x:c>
      <x:c r="G11" s="8" t="n">
        <x:v>0</x:v>
      </x:c>
      <x:c r="H11" s="8" t="n">
        <x:v>576808</x:v>
      </x:c>
      <x:c r="I11" s="9" t="n">
        <x:v>0.23051205096131944</x:v>
      </x:c>
      <x:c r="J11" s="8" t="n">
        <x:v>0</x:v>
      </x:c>
    </x:row>
    <x:row r="12" ht="25" customHeight="1">
      <x:c r="A12" s="8" t="str">
        <x:v>validation</x:v>
      </x:c>
      <x:c r="B12" s="8" t="str">
        <x:v>real_malicious</x:v>
      </x:c>
      <x:c r="C12" s="8" t="n">
        <x:v>917</x:v>
      </x:c>
      <x:c r="D12" s="8" t="n">
        <x:v>917</x:v>
      </x:c>
      <x:c r="E12" s="8" t="n">
        <x:v>9170</x:v>
      </x:c>
      <x:c r="F12" s="8" t="n">
        <x:v>556221</x:v>
      </x:c>
      <x:c r="G12" s="8" t="n">
        <x:v>545002</x:v>
      </x:c>
      <x:c r="H12" s="8" t="n">
        <x:v>4528</x:v>
      </x:c>
      <x:c r="I12" s="9" t="n">
        <x:v>0.4937840785169029</x:v>
      </x:c>
      <x:c r="J12" s="8" t="n">
        <x:v>455</x:v>
      </x:c>
    </x:row>
  </x:sheetData>
  <x:pageMargins left="0.7" right="0.7" top="0.75" bottom="0.75" header="0.3" footer="0.3"/>
  <x:tableParts count="1">
    <x:tablePart xmlns:r="http://schemas.openxmlformats.org/officeDocument/2006/relationships" r:id="R46064799bee94ed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5" hidden="0" customWidth="1"/>
    <x:col min="2" max="2" width="17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Attack membership; multi-type sequences may appear more than once</x:v>
      </x:c>
      <x:c r="B2" s="2"/>
      <x:c r="C2" s="2"/>
      <x:c r="D2" s="2"/>
      <x:c r="E2" s="2"/>
      <x:c r="F2" s="2"/>
      <x:c r="G2" s="2"/>
    </x:row>
    <x:row r="3" ht="24" customHeight="1">
      <x:c r="A3" s="2"/>
      <x:c r="B3" s="2"/>
      <x:c r="C3" s="2"/>
      <x:c r="D3" s="2"/>
      <x:c r="E3" s="2"/>
      <x:c r="F3" s="2"/>
      <x:c r="G3" s="2"/>
    </x:row>
    <x:row r="4" ht="44" customHeight="1">
      <x:c r="A4" s="7" t="str">
        <x:v>Attack type</x:v>
      </x:c>
      <x:c r="B4" s="7" t="str">
        <x:v>Split</x:v>
      </x:c>
      <x:c r="C4" s="7" t="str">
        <x:v>Real sequences</x:v>
      </x:c>
      <x:c r="D4" s="7" t="str">
        <x:v>Real sources</x:v>
      </x:c>
      <x:c r="E4" s="7" t="str">
        <x:v>Real attack flows</x:v>
      </x:c>
      <x:c r="F4" s="7" t="str">
        <x:v>Synthetic selected</x:v>
      </x:c>
      <x:c r="G4" s="7" t="str">
        <x:v>Synthetic containing</x:v>
      </x:c>
    </x:row>
    <x:row r="5" ht="25" customHeight="1">
      <x:c r="A5" s="8" t="str">
        <x:v>Bot</x:v>
      </x:c>
      <x:c r="B5" s="8" t="str">
        <x:v>train</x:v>
      </x:c>
      <x:c r="C5" s="8" t="n">
        <x:v>1219</x:v>
      </x:c>
      <x:c r="D5" s="8" t="n">
        <x:v>8</x:v>
      </x:c>
      <x:c r="E5" s="8" t="n">
        <x:v>146850</x:v>
      </x:c>
      <x:c r="F5" s="8" t="n">
        <x:v>591</x:v>
      </x:c>
      <x:c r="G5" s="8" t="n">
        <x:v>591</x:v>
      </x:c>
    </x:row>
    <x:row r="6" ht="25" customHeight="1">
      <x:c r="A6" s="8" t="str">
        <x:v>Bot</x:v>
      </x:c>
      <x:c r="B6" s="8" t="str">
        <x:v>validation</x:v>
      </x:c>
      <x:c r="C6" s="8" t="n">
        <x:v>56</x:v>
      </x:c>
      <x:c r="D6" s="8" t="n">
        <x:v>8</x:v>
      </x:c>
      <x:c r="E6" s="8" t="n">
        <x:v>21591</x:v>
      </x:c>
      <x:c r="F6" s="8" t="n">
        <x:v>0</x:v>
      </x:c>
      <x:c r="G6" s="8" t="n">
        <x:v>0</x:v>
      </x:c>
    </x:row>
    <x:row r="7" ht="25" customHeight="1">
      <x:c r="A7" s="8" t="str">
        <x:v>Bot</x:v>
      </x:c>
      <x:c r="B7" s="8" t="str">
        <x:v>test</x:v>
      </x:c>
      <x:c r="C7" s="8" t="n">
        <x:v>49</x:v>
      </x:c>
      <x:c r="D7" s="8" t="n">
        <x:v>7</x:v>
      </x:c>
      <x:c r="E7" s="8" t="n">
        <x:v>18866</x:v>
      </x:c>
      <x:c r="F7" s="8" t="n">
        <x:v>0</x:v>
      </x:c>
      <x:c r="G7" s="8" t="n">
        <x:v>0</x:v>
      </x:c>
    </x:row>
    <x:row r="8" ht="25" customHeight="1">
      <x:c r="A8" s="8" t="str">
        <x:v>Brute_Force_-Web</x:v>
      </x:c>
      <x:c r="B8" s="8" t="str">
        <x:v>train</x:v>
      </x:c>
      <x:c r="C8" s="8" t="n">
        <x:v>841</x:v>
      </x:c>
      <x:c r="D8" s="8" t="n">
        <x:v>380</x:v>
      </x:c>
      <x:c r="E8" s="8" t="n">
        <x:v>1038</x:v>
      </x:c>
      <x:c r="F8" s="8" t="n">
        <x:v>572</x:v>
      </x:c>
      <x:c r="G8" s="8" t="n">
        <x:v>777</x:v>
      </x:c>
    </x:row>
    <x:row r="9" ht="25" customHeight="1">
      <x:c r="A9" s="8" t="str">
        <x:v>Brute_Force_-Web</x:v>
      </x:c>
      <x:c r="B9" s="8" t="str">
        <x:v>validation</x:v>
      </x:c>
      <x:c r="C9" s="8" t="n">
        <x:v>181</x:v>
      </x:c>
      <x:c r="D9" s="8" t="n">
        <x:v>105</x:v>
      </x:c>
      <x:c r="E9" s="8" t="n">
        <x:v>275</x:v>
      </x:c>
      <x:c r="F9" s="8" t="n">
        <x:v>0</x:v>
      </x:c>
      <x:c r="G9" s="8" t="n">
        <x:v>0</x:v>
      </x:c>
    </x:row>
    <x:row r="10" ht="25" customHeight="1">
      <x:c r="A10" s="8" t="str">
        <x:v>Brute_Force_-Web</x:v>
      </x:c>
      <x:c r="B10" s="8" t="str">
        <x:v>test</x:v>
      </x:c>
      <x:c r="C10" s="8" t="n">
        <x:v>166</x:v>
      </x:c>
      <x:c r="D10" s="8" t="n">
        <x:v>114</x:v>
      </x:c>
      <x:c r="E10" s="8" t="n">
        <x:v>191</x:v>
      </x:c>
      <x:c r="F10" s="8" t="n">
        <x:v>0</x:v>
      </x:c>
      <x:c r="G10" s="8" t="n">
        <x:v>0</x:v>
      </x:c>
    </x:row>
    <x:row r="11" ht="25" customHeight="1">
      <x:c r="A11" s="8" t="str">
        <x:v>Brute_Force_-XSS</x:v>
      </x:c>
      <x:c r="B11" s="8" t="str">
        <x:v>train</x:v>
      </x:c>
      <x:c r="C11" s="8" t="n">
        <x:v>253</x:v>
      </x:c>
      <x:c r="D11" s="8" t="n">
        <x:v>4</x:v>
      </x:c>
      <x:c r="E11" s="8" t="n">
        <x:v>270</x:v>
      </x:c>
      <x:c r="F11" s="8" t="n">
        <x:v>555</x:v>
      </x:c>
      <x:c r="G11" s="8" t="n">
        <x:v>898</x:v>
      </x:c>
    </x:row>
    <x:row r="12" ht="25" customHeight="1">
      <x:c r="A12" s="8" t="str">
        <x:v>Brute_Force_-XSS</x:v>
      </x:c>
      <x:c r="B12" s="8" t="str">
        <x:v>validation</x:v>
      </x:c>
      <x:c r="C12" s="8" t="n">
        <x:v>55</x:v>
      </x:c>
      <x:c r="D12" s="8" t="n">
        <x:v>4</x:v>
      </x:c>
      <x:c r="E12" s="8" t="n">
        <x:v>62</x:v>
      </x:c>
      <x:c r="F12" s="8" t="n">
        <x:v>0</x:v>
      </x:c>
      <x:c r="G12" s="8" t="n">
        <x:v>0</x:v>
      </x:c>
    </x:row>
    <x:row r="13" ht="25" customHeight="1">
      <x:c r="A13" s="8" t="str">
        <x:v>Brute_Force_-XSS</x:v>
      </x:c>
      <x:c r="B13" s="8" t="str">
        <x:v>test</x:v>
      </x:c>
      <x:c r="C13" s="8" t="n">
        <x:v>70</x:v>
      </x:c>
      <x:c r="D13" s="8" t="n">
        <x:v>4</x:v>
      </x:c>
      <x:c r="E13" s="8" t="n">
        <x:v>77</x:v>
      </x:c>
      <x:c r="F13" s="8" t="n">
        <x:v>0</x:v>
      </x:c>
      <x:c r="G13" s="8" t="n">
        <x:v>0</x:v>
      </x:c>
    </x:row>
    <x:row r="14" ht="25" customHeight="1">
      <x:c r="A14" s="8" t="str">
        <x:v>DDOS_attack-HOIC</x:v>
      </x:c>
      <x:c r="B14" s="8" t="str">
        <x:v>train</x:v>
      </x:c>
      <x:c r="C14" s="8" t="n">
        <x:v>81</x:v>
      </x:c>
      <x:c r="D14" s="8" t="n">
        <x:v>10</x:v>
      </x:c>
      <x:c r="E14" s="8" t="n">
        <x:v>193295</x:v>
      </x:c>
      <x:c r="F14" s="8" t="n">
        <x:v>545</x:v>
      </x:c>
      <x:c r="G14" s="8" t="n">
        <x:v>545</x:v>
      </x:c>
    </x:row>
    <x:row r="15" ht="25" customHeight="1">
      <x:c r="A15" s="8" t="str">
        <x:v>DDOS_attack-HOIC</x:v>
      </x:c>
      <x:c r="B15" s="8" t="str">
        <x:v>validation</x:v>
      </x:c>
      <x:c r="C15" s="8" t="n">
        <x:v>94</x:v>
      </x:c>
      <x:c r="D15" s="8" t="n">
        <x:v>10</x:v>
      </x:c>
      <x:c r="E15" s="8" t="n">
        <x:v>288963</x:v>
      </x:c>
      <x:c r="F15" s="8" t="n">
        <x:v>0</x:v>
      </x:c>
      <x:c r="G15" s="8" t="n">
        <x:v>0</x:v>
      </x:c>
    </x:row>
    <x:row r="16" ht="25" customHeight="1">
      <x:c r="A16" s="8" t="str">
        <x:v>DDOS_attack-HOIC</x:v>
      </x:c>
      <x:c r="B16" s="8" t="str">
        <x:v>test</x:v>
      </x:c>
      <x:c r="C16" s="8" t="n">
        <x:v>65</x:v>
      </x:c>
      <x:c r="D16" s="8" t="n">
        <x:v>10</x:v>
      </x:c>
      <x:c r="E16" s="8" t="n">
        <x:v>216684</x:v>
      </x:c>
      <x:c r="F16" s="8" t="n">
        <x:v>0</x:v>
      </x:c>
      <x:c r="G16" s="8" t="n">
        <x:v>0</x:v>
      </x:c>
    </x:row>
    <x:row r="17" ht="25" customHeight="1">
      <x:c r="A17" s="8" t="str">
        <x:v>DDOS_attack-LOIC-UDP</x:v>
      </x:c>
      <x:c r="B17" s="8" t="str">
        <x:v>train</x:v>
      </x:c>
      <x:c r="C17" s="8" t="n">
        <x:v>60</x:v>
      </x:c>
      <x:c r="D17" s="8" t="n">
        <x:v>10</x:v>
      </x:c>
      <x:c r="E17" s="8" t="n">
        <x:v>1094</x:v>
      </x:c>
      <x:c r="F17" s="8" t="n">
        <x:v>578</x:v>
      </x:c>
      <x:c r="G17" s="8" t="n">
        <x:v>578</x:v>
      </x:c>
    </x:row>
    <x:row r="18" ht="25" customHeight="1">
      <x:c r="A18" s="8" t="str">
        <x:v>DDOS_attack-LOIC-UDP</x:v>
      </x:c>
      <x:c r="B18" s="8" t="str">
        <x:v>validation</x:v>
      </x:c>
      <x:c r="C18" s="8" t="n">
        <x:v>54</x:v>
      </x:c>
      <x:c r="D18" s="8" t="n">
        <x:v>10</x:v>
      </x:c>
      <x:c r="E18" s="8" t="n">
        <x:v>1000</x:v>
      </x:c>
      <x:c r="F18" s="8" t="n">
        <x:v>0</x:v>
      </x:c>
      <x:c r="G18" s="8" t="n">
        <x:v>0</x:v>
      </x:c>
    </x:row>
    <x:row r="19" ht="25" customHeight="1">
      <x:c r="A19" s="8" t="str">
        <x:v>DDOS_attack-LOIC-UDP</x:v>
      </x:c>
      <x:c r="B19" s="8" t="str">
        <x:v>test</x:v>
      </x:c>
      <x:c r="C19" s="8" t="n">
        <x:v>14</x:v>
      </x:c>
      <x:c r="D19" s="8" t="n">
        <x:v>10</x:v>
      </x:c>
      <x:c r="E19" s="8" t="n">
        <x:v>280</x:v>
      </x:c>
      <x:c r="F19" s="8" t="n">
        <x:v>0</x:v>
      </x:c>
      <x:c r="G19" s="8" t="n">
        <x:v>0</x:v>
      </x:c>
    </x:row>
    <x:row r="20" ht="25" customHeight="1">
      <x:c r="A20" s="8" t="str">
        <x:v>DDoS_attacks-LOIC-HTTP</x:v>
      </x:c>
      <x:c r="B20" s="8" t="str">
        <x:v>train</x:v>
      </x:c>
      <x:c r="C20" s="8" t="n">
        <x:v>141</x:v>
      </x:c>
      <x:c r="D20" s="8" t="n">
        <x:v>10</x:v>
      </x:c>
      <x:c r="E20" s="8" t="n">
        <x:v>98859</x:v>
      </x:c>
      <x:c r="F20" s="8" t="n">
        <x:v>589</x:v>
      </x:c>
      <x:c r="G20" s="8" t="n">
        <x:v>589</x:v>
      </x:c>
    </x:row>
    <x:row r="21" ht="25" customHeight="1">
      <x:c r="A21" s="8" t="str">
        <x:v>DDoS_attacks-LOIC-HTTP</x:v>
      </x:c>
      <x:c r="B21" s="8" t="str">
        <x:v>validation</x:v>
      </x:c>
      <x:c r="C21" s="8" t="n">
        <x:v>64</x:v>
      </x:c>
      <x:c r="D21" s="8" t="n">
        <x:v>10</x:v>
      </x:c>
      <x:c r="E21" s="8" t="n">
        <x:v>47381</x:v>
      </x:c>
      <x:c r="F21" s="8" t="n">
        <x:v>0</x:v>
      </x:c>
      <x:c r="G21" s="8" t="n">
        <x:v>0</x:v>
      </x:c>
    </x:row>
    <x:row r="22" ht="25" customHeight="1">
      <x:c r="A22" s="8" t="str">
        <x:v>DDoS_attacks-LOIC-HTTP</x:v>
      </x:c>
      <x:c r="B22" s="8" t="str">
        <x:v>test</x:v>
      </x:c>
      <x:c r="C22" s="8" t="n">
        <x:v>110</x:v>
      </x:c>
      <x:c r="D22" s="8" t="n">
        <x:v>10</x:v>
      </x:c>
      <x:c r="E22" s="8" t="n">
        <x:v>47203</x:v>
      </x:c>
      <x:c r="F22" s="8" t="n">
        <x:v>0</x:v>
      </x:c>
      <x:c r="G22" s="8" t="n">
        <x:v>0</x:v>
      </x:c>
    </x:row>
    <x:row r="23" ht="25" customHeight="1">
      <x:c r="A23" s="8" t="str">
        <x:v>DoS_attacks-GoldenEye</x:v>
      </x:c>
      <x:c r="B23" s="8" t="str">
        <x:v>train</x:v>
      </x:c>
      <x:c r="C23" s="8" t="n">
        <x:v>6</x:v>
      </x:c>
      <x:c r="D23" s="8" t="n">
        <x:v>1</x:v>
      </x:c>
      <x:c r="E23" s="8" t="n">
        <x:v>32860</x:v>
      </x:c>
      <x:c r="F23" s="8" t="n">
        <x:v>562</x:v>
      </x:c>
      <x:c r="G23" s="8" t="n">
        <x:v>562</x:v>
      </x:c>
    </x:row>
    <x:row r="24" ht="25" customHeight="1">
      <x:c r="A24" s="8" t="str">
        <x:v>DoS_attacks-GoldenEye</x:v>
      </x:c>
      <x:c r="B24" s="8" t="str">
        <x:v>validation</x:v>
      </x:c>
      <x:c r="C24" s="8" t="n">
        <x:v>2</x:v>
      </x:c>
      <x:c r="D24" s="8" t="n">
        <x:v>1</x:v>
      </x:c>
      <x:c r="E24" s="8" t="n">
        <x:v>2072</x:v>
      </x:c>
      <x:c r="F24" s="8" t="n">
        <x:v>0</x:v>
      </x:c>
      <x:c r="G24" s="8" t="n">
        <x:v>0</x:v>
      </x:c>
    </x:row>
    <x:row r="25" ht="25" customHeight="1">
      <x:c r="A25" s="8" t="str">
        <x:v>DoS_attacks-GoldenEye</x:v>
      </x:c>
      <x:c r="B25" s="8" t="str">
        <x:v>test</x:v>
      </x:c>
      <x:c r="C25" s="8" t="n">
        <x:v>6</x:v>
      </x:c>
      <x:c r="D25" s="8" t="n">
        <x:v>1</x:v>
      </x:c>
      <x:c r="E25" s="8" t="n">
        <x:v>26368</x:v>
      </x:c>
      <x:c r="F25" s="8" t="n">
        <x:v>0</x:v>
      </x:c>
      <x:c r="G25" s="8" t="n">
        <x:v>0</x:v>
      </x:c>
    </x:row>
    <x:row r="26" ht="25" customHeight="1">
      <x:c r="A26" s="8" t="str">
        <x:v>DoS_attacks-Hulk</x:v>
      </x:c>
      <x:c r="B26" s="8" t="str">
        <x:v>train</x:v>
      </x:c>
      <x:c r="C26" s="8" t="n">
        <x:v>6</x:v>
      </x:c>
      <x:c r="D26" s="8" t="n">
        <x:v>1</x:v>
      </x:c>
      <x:c r="E26" s="8" t="n">
        <x:v>75640</x:v>
      </x:c>
      <x:c r="F26" s="8" t="n">
        <x:v>583</x:v>
      </x:c>
      <x:c r="G26" s="8" t="n">
        <x:v>583</x:v>
      </x:c>
    </x:row>
    <x:row r="27" ht="25" customHeight="1">
      <x:c r="A27" s="8" t="str">
        <x:v>DoS_attacks-Hulk</x:v>
      </x:c>
      <x:c r="B27" s="8" t="str">
        <x:v>validation</x:v>
      </x:c>
      <x:c r="C27" s="8" t="n">
        <x:v>0</x:v>
      </x:c>
      <x:c r="D27" s="8" t="n">
        <x:v>0</x:v>
      </x:c>
      <x:c r="E27" s="8" t="n">
        <x:v>0</x:v>
      </x:c>
      <x:c r="F27" s="8" t="n">
        <x:v>0</x:v>
      </x:c>
      <x:c r="G27" s="8" t="n">
        <x:v>0</x:v>
      </x:c>
    </x:row>
    <x:row r="28" ht="25" customHeight="1">
      <x:c r="A28" s="8" t="str">
        <x:v>DoS_attacks-Hulk</x:v>
      </x:c>
      <x:c r="B28" s="8" t="str">
        <x:v>test</x:v>
      </x:c>
      <x:c r="C28" s="8" t="n">
        <x:v>0</x:v>
      </x:c>
      <x:c r="D28" s="8" t="n">
        <x:v>0</x:v>
      </x:c>
      <x:c r="E28" s="8" t="n">
        <x:v>0</x:v>
      </x:c>
      <x:c r="F28" s="8" t="n">
        <x:v>0</x:v>
      </x:c>
      <x:c r="G28" s="8" t="n">
        <x:v>0</x:v>
      </x:c>
    </x:row>
    <x:row r="29" ht="25" customHeight="1">
      <x:c r="A29" s="8" t="str">
        <x:v>DoS_attacks-SlowHTTPTest</x:v>
      </x:c>
      <x:c r="B29" s="8" t="str">
        <x:v>train</x:v>
      </x:c>
      <x:c r="C29" s="8" t="n">
        <x:v>13</x:v>
      </x:c>
      <x:c r="D29" s="8" t="n">
        <x:v>1</x:v>
      </x:c>
      <x:c r="E29" s="8" t="n">
        <x:v>39170</x:v>
      </x:c>
      <x:c r="F29" s="8" t="n">
        <x:v>599</x:v>
      </x:c>
      <x:c r="G29" s="8" t="n">
        <x:v>599</x:v>
      </x:c>
    </x:row>
    <x:row r="30" ht="25" customHeight="1">
      <x:c r="A30" s="8" t="str">
        <x:v>DoS_attacks-SlowHTTPTest</x:v>
      </x:c>
      <x:c r="B30" s="8" t="str">
        <x:v>validation</x:v>
      </x:c>
      <x:c r="C30" s="8" t="n">
        <x:v>7</x:v>
      </x:c>
      <x:c r="D30" s="8" t="n">
        <x:v>1</x:v>
      </x:c>
      <x:c r="E30" s="8" t="n">
        <x:v>23240</x:v>
      </x:c>
      <x:c r="F30" s="8" t="n">
        <x:v>0</x:v>
      </x:c>
      <x:c r="G30" s="8" t="n">
        <x:v>0</x:v>
      </x:c>
    </x:row>
    <x:row r="31" ht="25" customHeight="1">
      <x:c r="A31" s="8" t="str">
        <x:v>DoS_attacks-SlowHTTPTest</x:v>
      </x:c>
      <x:c r="B31" s="8" t="str">
        <x:v>test</x:v>
      </x:c>
      <x:c r="C31" s="8" t="n">
        <x:v>7</x:v>
      </x:c>
      <x:c r="D31" s="8" t="n">
        <x:v>1</x:v>
      </x:c>
      <x:c r="E31" s="8" t="n">
        <x:v>23220</x:v>
      </x:c>
      <x:c r="F31" s="8" t="n">
        <x:v>0</x:v>
      </x:c>
      <x:c r="G31" s="8" t="n">
        <x:v>0</x:v>
      </x:c>
    </x:row>
    <x:row r="32" ht="25" customHeight="1">
      <x:c r="A32" s="8" t="str">
        <x:v>DoS_attacks-Slowloris</x:v>
      </x:c>
      <x:c r="B32" s="8" t="str">
        <x:v>train</x:v>
      </x:c>
      <x:c r="C32" s="8" t="n">
        <x:v>6</x:v>
      </x:c>
      <x:c r="D32" s="8" t="n">
        <x:v>1</x:v>
      </x:c>
      <x:c r="E32" s="8" t="n">
        <x:v>8914</x:v>
      </x:c>
      <x:c r="F32" s="8" t="n">
        <x:v>602</x:v>
      </x:c>
      <x:c r="G32" s="8" t="n">
        <x:v>602</x:v>
      </x:c>
    </x:row>
    <x:row r="33" ht="25" customHeight="1">
      <x:c r="A33" s="8" t="str">
        <x:v>DoS_attacks-Slowloris</x:v>
      </x:c>
      <x:c r="B33" s="8" t="str">
        <x:v>validation</x:v>
      </x:c>
      <x:c r="C33" s="8" t="n">
        <x:v>16</x:v>
      </x:c>
      <x:c r="D33" s="8" t="n">
        <x:v>1</x:v>
      </x:c>
      <x:c r="E33" s="8" t="n">
        <x:v>22810</x:v>
      </x:c>
      <x:c r="F33" s="8" t="n">
        <x:v>0</x:v>
      </x:c>
      <x:c r="G33" s="8" t="n">
        <x:v>0</x:v>
      </x:c>
    </x:row>
    <x:row r="34" ht="25" customHeight="1">
      <x:c r="A34" s="8" t="str">
        <x:v>DoS_attacks-Slowloris</x:v>
      </x:c>
      <x:c r="B34" s="8" t="str">
        <x:v>test</x:v>
      </x:c>
      <x:c r="C34" s="8" t="n">
        <x:v>0</x:v>
      </x:c>
      <x:c r="D34" s="8" t="n">
        <x:v>0</x:v>
      </x:c>
      <x:c r="E34" s="8" t="n">
        <x:v>0</x:v>
      </x:c>
      <x:c r="F34" s="8" t="n">
        <x:v>0</x:v>
      </x:c>
      <x:c r="G34" s="8" t="n">
        <x:v>0</x:v>
      </x:c>
    </x:row>
    <x:row r="35" ht="25" customHeight="1">
      <x:c r="A35" s="8" t="str">
        <x:v>FTP-BruteForce</x:v>
      </x:c>
      <x:c r="B35" s="8" t="str">
        <x:v>train</x:v>
      </x:c>
      <x:c r="C35" s="8" t="n">
        <x:v>31</x:v>
      </x:c>
      <x:c r="D35" s="8" t="n">
        <x:v>1</x:v>
      </x:c>
      <x:c r="E35" s="8" t="n">
        <x:v>205360</x:v>
      </x:c>
      <x:c r="F35" s="8" t="n">
        <x:v>580</x:v>
      </x:c>
      <x:c r="G35" s="8" t="n">
        <x:v>580</x:v>
      </x:c>
    </x:row>
    <x:row r="36" ht="25" customHeight="1">
      <x:c r="A36" s="8" t="str">
        <x:v>FTP-BruteForce</x:v>
      </x:c>
      <x:c r="B36" s="8" t="str">
        <x:v>validation</x:v>
      </x:c>
      <x:c r="C36" s="8" t="n">
        <x:v>15</x:v>
      </x:c>
      <x:c r="D36" s="8" t="n">
        <x:v>1</x:v>
      </x:c>
      <x:c r="E36" s="8" t="n">
        <x:v>95060</x:v>
      </x:c>
      <x:c r="F36" s="8" t="n">
        <x:v>0</x:v>
      </x:c>
      <x:c r="G36" s="8" t="n">
        <x:v>0</x:v>
      </x:c>
    </x:row>
    <x:row r="37" ht="25" customHeight="1">
      <x:c r="A37" s="8" t="str">
        <x:v>FTP-BruteForce</x:v>
      </x:c>
      <x:c r="B37" s="8" t="str">
        <x:v>test</x:v>
      </x:c>
      <x:c r="C37" s="8" t="n">
        <x:v>7</x:v>
      </x:c>
      <x:c r="D37" s="8" t="n">
        <x:v>1</x:v>
      </x:c>
      <x:c r="E37" s="8" t="n">
        <x:v>46460</x:v>
      </x:c>
      <x:c r="F37" s="8" t="n">
        <x:v>0</x:v>
      </x:c>
      <x:c r="G37" s="8" t="n">
        <x:v>0</x:v>
      </x:c>
    </x:row>
    <x:row r="38" ht="25" customHeight="1">
      <x:c r="A38" s="8" t="str">
        <x:v>Infilteration</x:v>
      </x:c>
      <x:c r="B38" s="8" t="str">
        <x:v>train</x:v>
      </x:c>
      <x:c r="C38" s="8" t="n">
        <x:v>5468</x:v>
      </x:c>
      <x:c r="D38" s="8" t="n">
        <x:v>551</x:v>
      </x:c>
      <x:c r="E38" s="8" t="n">
        <x:v>157788</x:v>
      </x:c>
      <x:c r="F38" s="8" t="n">
        <x:v>547</x:v>
      </x:c>
      <x:c r="G38" s="8" t="n">
        <x:v>547</x:v>
      </x:c>
    </x:row>
    <x:row r="39" ht="25" customHeight="1">
      <x:c r="A39" s="8" t="str">
        <x:v>Infilteration</x:v>
      </x:c>
      <x:c r="B39" s="8" t="str">
        <x:v>validation</x:v>
      </x:c>
      <x:c r="C39" s="8" t="n">
        <x:v>366</x:v>
      </x:c>
      <x:c r="D39" s="8" t="n">
        <x:v>43</x:v>
      </x:c>
      <x:c r="E39" s="8" t="n">
        <x:v>9509</x:v>
      </x:c>
      <x:c r="F39" s="8" t="n">
        <x:v>0</x:v>
      </x:c>
      <x:c r="G39" s="8" t="n">
        <x:v>0</x:v>
      </x:c>
    </x:row>
    <x:row r="40" ht="25" customHeight="1">
      <x:c r="A40" s="8" t="str">
        <x:v>Infilteration</x:v>
      </x:c>
      <x:c r="B40" s="8" t="str">
        <x:v>test</x:v>
      </x:c>
      <x:c r="C40" s="8" t="n">
        <x:v>334</x:v>
      </x:c>
      <x:c r="D40" s="8" t="n">
        <x:v>63</x:v>
      </x:c>
      <x:c r="E40" s="8" t="n">
        <x:v>6561</x:v>
      </x:c>
      <x:c r="F40" s="8" t="n">
        <x:v>0</x:v>
      </x:c>
      <x:c r="G40" s="8" t="n">
        <x:v>0</x:v>
      </x:c>
    </x:row>
    <x:row r="41" ht="25" customHeight="1">
      <x:c r="A41" s="8" t="str">
        <x:v>SQL_Injection</x:v>
      </x:c>
      <x:c r="B41" s="8" t="str">
        <x:v>train</x:v>
      </x:c>
      <x:c r="C41" s="8" t="n">
        <x:v>180</x:v>
      </x:c>
      <x:c r="D41" s="8" t="n">
        <x:v>4</x:v>
      </x:c>
      <x:c r="E41" s="8" t="n">
        <x:v>217</x:v>
      </x:c>
      <x:c r="F41" s="8" t="n">
        <x:v>597</x:v>
      </x:c>
      <x:c r="G41" s="8" t="n">
        <x:v>816</x:v>
      </x:c>
    </x:row>
    <x:row r="42" ht="25" customHeight="1">
      <x:c r="A42" s="8" t="str">
        <x:v>SQL_Injection</x:v>
      </x:c>
      <x:c r="B42" s="8" t="str">
        <x:v>validation</x:v>
      </x:c>
      <x:c r="C42" s="8" t="n">
        <x:v>50</x:v>
      </x:c>
      <x:c r="D42" s="8" t="n">
        <x:v>4</x:v>
      </x:c>
      <x:c r="E42" s="8" t="n">
        <x:v>55</x:v>
      </x:c>
      <x:c r="F42" s="8" t="n">
        <x:v>0</x:v>
      </x:c>
      <x:c r="G42" s="8" t="n">
        <x:v>0</x:v>
      </x:c>
    </x:row>
    <x:row r="43" ht="25" customHeight="1">
      <x:c r="A43" s="8" t="str">
        <x:v>SQL_Injection</x:v>
      </x:c>
      <x:c r="B43" s="8" t="str">
        <x:v>test</x:v>
      </x:c>
      <x:c r="C43" s="8" t="n">
        <x:v>84</x:v>
      </x:c>
      <x:c r="D43" s="8" t="n">
        <x:v>4</x:v>
      </x:c>
      <x:c r="E43" s="8" t="n">
        <x:v>88</x:v>
      </x:c>
      <x:c r="F43" s="8" t="n">
        <x:v>0</x:v>
      </x:c>
      <x:c r="G43" s="8" t="n">
        <x:v>0</x:v>
      </x:c>
    </x:row>
    <x:row r="44" ht="25" customHeight="1">
      <x:c r="A44" s="8" t="str">
        <x:v>SSH-Bruteforce</x:v>
      </x:c>
      <x:c r="B44" s="8" t="str">
        <x:v>train</x:v>
      </x:c>
      <x:c r="C44" s="8" t="n">
        <x:v>30</x:v>
      </x:c>
      <x:c r="D44" s="8" t="n">
        <x:v>1</x:v>
      </x:c>
      <x:c r="E44" s="8" t="n">
        <x:v>103548</x:v>
      </x:c>
      <x:c r="F44" s="8" t="n">
        <x:v>593</x:v>
      </x:c>
      <x:c r="G44" s="8" t="n">
        <x:v>593</x:v>
      </x:c>
    </x:row>
    <x:row r="45" ht="25" customHeight="1">
      <x:c r="A45" s="8" t="str">
        <x:v>SSH-Bruteforce</x:v>
      </x:c>
      <x:c r="B45" s="8" t="str">
        <x:v>validation</x:v>
      </x:c>
      <x:c r="C45" s="8" t="n">
        <x:v>10</x:v>
      </x:c>
      <x:c r="D45" s="8" t="n">
        <x:v>1</x:v>
      </x:c>
      <x:c r="E45" s="8" t="n">
        <x:v>32984</x:v>
      </x:c>
      <x:c r="F45" s="8" t="n">
        <x:v>0</x:v>
      </x:c>
      <x:c r="G45" s="8" t="n">
        <x:v>0</x:v>
      </x:c>
    </x:row>
    <x:row r="46" ht="25" customHeight="1">
      <x:c r="A46" s="8" t="str">
        <x:v>SSH-Bruteforce</x:v>
      </x:c>
      <x:c r="B46" s="8" t="str">
        <x:v>test</x:v>
      </x:c>
      <x:c r="C46" s="8" t="n">
        <x:v>6</x:v>
      </x:c>
      <x:c r="D46" s="8" t="n">
        <x:v>1</x:v>
      </x:c>
      <x:c r="E46" s="8" t="n">
        <x:v>20756</x:v>
      </x:c>
      <x:c r="F46" s="8" t="n">
        <x:v>0</x:v>
      </x:c>
      <x:c r="G46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1c706e9aaf490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24" hidden="0" customWidth="1"/>
    <x:col min="4" max="4" width="100" hidden="0" customWidth="1"/>
    <x:col min="5" max="5" width="12" hidden="0" customWidth="1"/>
    <x:col min="6" max="6" width="26" hidden="0" customWidth="1"/>
    <x:col min="7" max="7" width="26" hidden="0" customWidth="1"/>
    <x:col min="8" max="8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Feature schema and original-train scaling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44" customHeight="1">
      <x:c r="A4" s="7" t="str">
        <x:v>Index</x:v>
      </x:c>
      <x:c r="B4" s="7" t="str">
        <x:v>Feature</x:v>
      </x:c>
      <x:c r="C4" s="7" t="str">
        <x:v>Family</x:v>
      </x:c>
      <x:c r="D4" s="7" t="str">
        <x:v>Definition</x:v>
      </x:c>
      <x:c r="E4" s="7" t="str">
        <x:v>Log1p</x:v>
      </x:c>
      <x:c r="F4" s="7" t="str">
        <x:v>Train mean after log</x:v>
      </x:c>
      <x:c r="G4" s="7" t="str">
        <x:v>Train scale</x:v>
      </x:c>
      <x:c r="H4" s="7" t="str">
        <x:v>Train constant</x:v>
      </x:c>
    </x:row>
    <x:row r="5" ht="43" customHeight="1">
      <x:c r="A5" s="8" t="n">
        <x:v>0</x:v>
      </x:c>
      <x:c r="B5" s="8" t="str">
        <x:v>flow_count</x:v>
      </x:c>
      <x:c r="C5" s="8" t="str">
        <x:v>Volume</x:v>
      </x:c>
      <x:c r="D5" s="21" t="str">
        <x:v>Whole-flow counter sum or flow-start count assigned to this bucket; not interval-measured traffic.</x:v>
      </x:c>
      <x:c r="E5" s="22" t="str">
        <x:v>yes</x:v>
      </x:c>
      <x:c r="F5" s="20" t="n">
        <x:v>1.216786835325863</x:v>
      </x:c>
      <x:c r="G5" s="20" t="n">
        <x:v>0.7304419033406377</x:v>
      </x:c>
      <x:c r="H5" s="22" t="str">
        <x:v>no</x:v>
      </x:c>
    </x:row>
    <x:row r="6" ht="43" customHeight="1">
      <x:c r="A6" s="8" t="n">
        <x:v>1</x:v>
      </x:c>
      <x:c r="B6" s="8" t="str">
        <x:v>in_bytes_sum</x:v>
      </x:c>
      <x:c r="C6" s="8" t="str">
        <x:v>Volume</x:v>
      </x:c>
      <x:c r="D6" s="21" t="str">
        <x:v>Whole-flow counter sum or flow-start count assigned to this bucket; not interval-measured traffic.</x:v>
      </x:c>
      <x:c r="E6" s="22" t="str">
        <x:v>yes</x:v>
      </x:c>
      <x:c r="F6" s="20" t="n">
        <x:v>6.460888156752272</x:v>
      </x:c>
      <x:c r="G6" s="20" t="n">
        <x:v>1.83685210711941</x:v>
      </x:c>
      <x:c r="H6" s="22" t="str">
        <x:v>no</x:v>
      </x:c>
    </x:row>
    <x:row r="7" ht="43" customHeight="1">
      <x:c r="A7" s="8" t="n">
        <x:v>2</x:v>
      </x:c>
      <x:c r="B7" s="8" t="str">
        <x:v>out_bytes_sum</x:v>
      </x:c>
      <x:c r="C7" s="8" t="str">
        <x:v>Volume</x:v>
      </x:c>
      <x:c r="D7" s="21" t="str">
        <x:v>Whole-flow counter sum or flow-start count assigned to this bucket; not interval-measured traffic.</x:v>
      </x:c>
      <x:c r="E7" s="22" t="str">
        <x:v>yes</x:v>
      </x:c>
      <x:c r="F7" s="20" t="n">
        <x:v>5.507136318288573</x:v>
      </x:c>
      <x:c r="G7" s="20" t="n">
        <x:v>3.473011808968983</x:v>
      </x:c>
      <x:c r="H7" s="22" t="str">
        <x:v>no</x:v>
      </x:c>
    </x:row>
    <x:row r="8" ht="43" customHeight="1">
      <x:c r="A8" s="8" t="n">
        <x:v>3</x:v>
      </x:c>
      <x:c r="B8" s="8" t="str">
        <x:v>in_pkts_sum</x:v>
      </x:c>
      <x:c r="C8" s="8" t="str">
        <x:v>Volume</x:v>
      </x:c>
      <x:c r="D8" s="21" t="str">
        <x:v>Whole-flow counter sum or flow-start count assigned to this bucket; not interval-measured traffic.</x:v>
      </x:c>
      <x:c r="E8" s="22" t="str">
        <x:v>yes</x:v>
      </x:c>
      <x:c r="F8" s="20" t="n">
        <x:v>2.26044381155375</x:v>
      </x:c>
      <x:c r="G8" s="20" t="n">
        <x:v>1.2530184093764172</x:v>
      </x:c>
      <x:c r="H8" s="22" t="str">
        <x:v>no</x:v>
      </x:c>
    </x:row>
    <x:row r="9" ht="43" customHeight="1">
      <x:c r="A9" s="8" t="n">
        <x:v>4</x:v>
      </x:c>
      <x:c r="B9" s="8" t="str">
        <x:v>out_pkts_sum</x:v>
      </x:c>
      <x:c r="C9" s="8" t="str">
        <x:v>Volume</x:v>
      </x:c>
      <x:c r="D9" s="21" t="str">
        <x:v>Whole-flow counter sum or flow-start count assigned to this bucket; not interval-measured traffic.</x:v>
      </x:c>
      <x:c r="E9" s="22" t="str">
        <x:v>yes</x:v>
      </x:c>
      <x:c r="F9" s="20" t="n">
        <x:v>1.8957379242481363</x:v>
      </x:c>
      <x:c r="G9" s="20" t="n">
        <x:v>1.4839859366313577</x:v>
      </x:c>
      <x:c r="H9" s="22" t="str">
        <x:v>no</x:v>
      </x:c>
    </x:row>
    <x:row r="10" ht="43" customHeight="1">
      <x:c r="A10" s="8" t="n">
        <x:v>5</x:v>
      </x:c>
      <x:c r="B10" s="8" t="str">
        <x:v>duration_mean</x:v>
      </x:c>
      <x:c r="C10" s="8" t="str">
        <x:v>Duration</x:v>
      </x:c>
      <x:c r="D10" s="21" t="str">
        <x:v>Named mean/min/max of the exported per-flow duration in milliseconds; stored zeros retained.</x:v>
      </x:c>
      <x:c r="E10" s="22" t="str">
        <x:v>yes</x:v>
      </x:c>
      <x:c r="F10" s="20" t="n">
        <x:v>5.66252508067719</x:v>
      </x:c>
      <x:c r="G10" s="20" t="n">
        <x:v>3.7377354469513637</x:v>
      </x:c>
      <x:c r="H10" s="22" t="str">
        <x:v>no</x:v>
      </x:c>
    </x:row>
    <x:row r="11" ht="43" customHeight="1">
      <x:c r="A11" s="8" t="n">
        <x:v>6</x:v>
      </x:c>
      <x:c r="B11" s="8" t="str">
        <x:v>duration_min</x:v>
      </x:c>
      <x:c r="C11" s="8" t="str">
        <x:v>Duration</x:v>
      </x:c>
      <x:c r="D11" s="21" t="str">
        <x:v>Named mean/min/max of the exported per-flow duration in milliseconds; stored zeros retained.</x:v>
      </x:c>
      <x:c r="E11" s="22" t="str">
        <x:v>yes</x:v>
      </x:c>
      <x:c r="F11" s="20" t="n">
        <x:v>4.52722416945435</x:v>
      </x:c>
      <x:c r="G11" s="20" t="n">
        <x:v>3.716511921283396</x:v>
      </x:c>
      <x:c r="H11" s="22" t="str">
        <x:v>no</x:v>
      </x:c>
    </x:row>
    <x:row r="12" ht="43" customHeight="1">
      <x:c r="A12" s="8" t="n">
        <x:v>7</x:v>
      </x:c>
      <x:c r="B12" s="8" t="str">
        <x:v>duration_max</x:v>
      </x:c>
      <x:c r="C12" s="8" t="str">
        <x:v>Duration</x:v>
      </x:c>
      <x:c r="D12" s="21" t="str">
        <x:v>Named mean/min/max of the exported per-flow duration in milliseconds; stored zeros retained.</x:v>
      </x:c>
      <x:c r="E12" s="22" t="str">
        <x:v>yes</x:v>
      </x:c>
      <x:c r="F12" s="20" t="n">
        <x:v>5.940710383945699</x:v>
      </x:c>
      <x:c r="G12" s="20" t="n">
        <x:v>3.925983481388064</x:v>
      </x:c>
      <x:c r="H12" s="22" t="str">
        <x:v>no</x:v>
      </x:c>
    </x:row>
    <x:row r="13" ht="43" customHeight="1">
      <x:c r="A13" s="8" t="n">
        <x:v>8</x:v>
      </x:c>
      <x:c r="B13" s="8" t="str">
        <x:v>protocol_tcp_ratio</x:v>
      </x:c>
      <x:c r="C13" s="8" t="str">
        <x:v>Protocol presence</x:v>
      </x:c>
      <x:c r="D13" s="21" t="str">
        <x:v>Protocol or legacy DNS-presence flow fraction over all bucket starts.</x:v>
      </x:c>
      <x:c r="E13" s="22" t="str">
        <x:v>no</x:v>
      </x:c>
      <x:c r="F13" s="20" t="n">
        <x:v>0.8384400685155059</x:v>
      </x:c>
      <x:c r="G13" s="20" t="n">
        <x:v>0.33864730064051274</x:v>
      </x:c>
      <x:c r="H13" s="22" t="str">
        <x:v>no</x:v>
      </x:c>
    </x:row>
    <x:row r="14" ht="43" customHeight="1">
      <x:c r="A14" s="8" t="n">
        <x:v>9</x:v>
      </x:c>
      <x:c r="B14" s="8" t="str">
        <x:v>protocol_udp_ratio</x:v>
      </x:c>
      <x:c r="C14" s="8" t="str">
        <x:v>Protocol presence</x:v>
      </x:c>
      <x:c r="D14" s="21" t="str">
        <x:v>Protocol or legacy DNS-presence flow fraction over all bucket starts.</x:v>
      </x:c>
      <x:c r="E14" s="22" t="str">
        <x:v>no</x:v>
      </x:c>
      <x:c r="F14" s="20" t="n">
        <x:v>0.15272477236244167</x:v>
      </x:c>
      <x:c r="G14" s="20" t="n">
        <x:v>0.32858279758926867</x:v>
      </x:c>
      <x:c r="H14" s="22" t="str">
        <x:v>no</x:v>
      </x:c>
    </x:row>
    <x:row r="15" ht="43" customHeight="1">
      <x:c r="A15" s="8" t="n">
        <x:v>10</x:v>
      </x:c>
      <x:c r="B15" s="8" t="str">
        <x:v>protocol_other_ratio</x:v>
      </x:c>
      <x:c r="C15" s="8" t="str">
        <x:v>Protocol presence</x:v>
      </x:c>
      <x:c r="D15" s="21" t="str">
        <x:v>Protocol or legacy DNS-presence flow fraction over all bucket starts.</x:v>
      </x:c>
      <x:c r="E15" s="22" t="str">
        <x:v>no</x:v>
      </x:c>
      <x:c r="F15" s="20" t="n">
        <x:v>0.00883515912202723</x:v>
      </x:c>
      <x:c r="G15" s="20" t="n">
        <x:v>0.08782777018850878</x:v>
      </x:c>
      <x:c r="H15" s="22" t="str">
        <x:v>no</x:v>
      </x:c>
    </x:row>
    <x:row r="16" ht="43" customHeight="1">
      <x:c r="A16" s="8" t="n">
        <x:v>11</x:v>
      </x:c>
      <x:c r="B16" s="8" t="str">
        <x:v>protocol_nunique</x:v>
      </x:c>
      <x:c r="C16" s="8" t="str">
        <x:v>Diversity</x:v>
      </x:c>
      <x:c r="D16" s="21" t="str">
        <x:v>Distinct original values in the bucket; DNS/ICMP only use eligible flows.</x:v>
      </x:c>
      <x:c r="E16" s="22" t="str">
        <x:v>yes</x:v>
      </x:c>
      <x:c r="F16" s="20" t="n">
        <x:v>0.7356561966801815</x:v>
      </x:c>
      <x:c r="G16" s="20" t="n">
        <x:v>0.12555481579820393</x:v>
      </x:c>
      <x:c r="H16" s="22" t="str">
        <x:v>no</x:v>
      </x:c>
    </x:row>
    <x:row r="17" ht="43" customHeight="1">
      <x:c r="A17" s="8" t="n">
        <x:v>12</x:v>
      </x:c>
      <x:c r="B17" s="8" t="str">
        <x:v>l7_proto_nunique</x:v>
      </x:c>
      <x:c r="C17" s="8" t="str">
        <x:v>Diversity</x:v>
      </x:c>
      <x:c r="D17" s="21" t="str">
        <x:v>Distinct original values in the bucket; DNS/ICMP only use eligible flows.</x:v>
      </x:c>
      <x:c r="E17" s="22" t="str">
        <x:v>yes</x:v>
      </x:c>
      <x:c r="F17" s="20" t="n">
        <x:v>0.7928097343915714</x:v>
      </x:c>
      <x:c r="G17" s="20" t="n">
        <x:v>0.20837716324482533</x:v>
      </x:c>
      <x:c r="H17" s="22" t="str">
        <x:v>no</x:v>
      </x:c>
    </x:row>
    <x:row r="18" ht="43" customHeight="1">
      <x:c r="A18" s="8" t="n">
        <x:v>13</x:v>
      </x:c>
      <x:c r="B18" s="8" t="str">
        <x:v>l7_top1_ratio</x:v>
      </x:c>
      <x:c r="C18" s="8" t="str">
        <x:v>Diversity</x:v>
      </x:c>
      <x:c r="D18" s="21" t="str">
        <x:v>Most frequent category count / all applicable flow counts; DNS/ICMP use their eligible population.</x:v>
      </x:c>
      <x:c r="E18" s="22" t="str">
        <x:v>no</x:v>
      </x:c>
      <x:c r="F18" s="20" t="n">
        <x:v>0.9220164003623303</x:v>
      </x:c>
      <x:c r="G18" s="20" t="n">
        <x:v>0.16333839709118803</x:v>
      </x:c>
      <x:c r="H18" s="22" t="str">
        <x:v>no</x:v>
      </x:c>
    </x:row>
    <x:row r="19" ht="43" customHeight="1">
      <x:c r="A19" s="8" t="n">
        <x:v>14</x:v>
      </x:c>
      <x:c r="B19" s="8" t="str">
        <x:v>l7_entropy</x:v>
      </x:c>
      <x:c r="C19" s="8" t="str">
        <x:v>Diversity</x:v>
      </x:c>
      <x:c r="D19" s="21" t="str">
        <x:v>Normalized Shannon entropy: -sum(p*ln(p))/ln(k); zero for k&lt;=1.</x:v>
      </x:c>
      <x:c r="E19" s="22" t="str">
        <x:v>no</x:v>
      </x:c>
      <x:c r="F19" s="20" t="n">
        <x:v>0.18119327943049038</x:v>
      </x:c>
      <x:c r="G19" s="20" t="n">
        <x:v>0.3619728974811713</x:v>
      </x:c>
      <x:c r="H19" s="22" t="str">
        <x:v>no</x:v>
      </x:c>
    </x:row>
    <x:row r="20" ht="43" customHeight="1">
      <x:c r="A20" s="8" t="n">
        <x:v>15</x:v>
      </x:c>
      <x:c r="B20" s="8" t="str">
        <x:v>src_port_nunique</x:v>
      </x:c>
      <x:c r="C20" s="8" t="str">
        <x:v>Diversity</x:v>
      </x:c>
      <x:c r="D20" s="21" t="str">
        <x:v>Distinct original values in the bucket; DNS/ICMP only use eligible flows.</x:v>
      </x:c>
      <x:c r="E20" s="22" t="str">
        <x:v>yes</x:v>
      </x:c>
      <x:c r="F20" s="20" t="n">
        <x:v>1.1520865891440686</x:v>
      </x:c>
      <x:c r="G20" s="20" t="n">
        <x:v>0.7132397934157783</x:v>
      </x:c>
      <x:c r="H20" s="22" t="str">
        <x:v>no</x:v>
      </x:c>
    </x:row>
    <x:row r="21" ht="43" customHeight="1">
      <x:c r="A21" s="8" t="n">
        <x:v>16</x:v>
      </x:c>
      <x:c r="B21" s="8" t="str">
        <x:v>src_port_reuse_ratio</x:v>
      </x:c>
      <x:c r="C21" s="8" t="str">
        <x:v>Diversity</x:v>
      </x:c>
      <x:c r="D21" s="21" t="str">
        <x:v>1 - distinct category count / total bucket flow count.</x:v>
      </x:c>
      <x:c r="E21" s="22" t="str">
        <x:v>no</x:v>
      </x:c>
      <x:c r="F21" s="20" t="n">
        <x:v>0.06288835027567224</x:v>
      </x:c>
      <x:c r="G21" s="20" t="n">
        <x:v>0.1759682219683854</x:v>
      </x:c>
      <x:c r="H21" s="22" t="str">
        <x:v>no</x:v>
      </x:c>
    </x:row>
    <x:row r="22" ht="43" customHeight="1">
      <x:c r="A22" s="8" t="n">
        <x:v>17</x:v>
      </x:c>
      <x:c r="B22" s="8" t="str">
        <x:v>src_port_top1_ratio</x:v>
      </x:c>
      <x:c r="C22" s="8" t="str">
        <x:v>Diversity</x:v>
      </x:c>
      <x:c r="D22" s="21" t="str">
        <x:v>Most frequent category count / all applicable flow counts; DNS/ICMP use their eligible population.</x:v>
      </x:c>
      <x:c r="E22" s="22" t="str">
        <x:v>no</x:v>
      </x:c>
      <x:c r="F22" s="20" t="n">
        <x:v>0.6772223867890368</x:v>
      </x:c>
      <x:c r="G22" s="20" t="n">
        <x:v>0.3501651013389723</x:v>
      </x:c>
      <x:c r="H22" s="22" t="str">
        <x:v>no</x:v>
      </x:c>
    </x:row>
    <x:row r="23" ht="43" customHeight="1">
      <x:c r="A23" s="8" t="n">
        <x:v>18</x:v>
      </x:c>
      <x:c r="B23" s="8" t="str">
        <x:v>src_port_entropy</x:v>
      </x:c>
      <x:c r="C23" s="8" t="str">
        <x:v>Diversity</x:v>
      </x:c>
      <x:c r="D23" s="21" t="str">
        <x:v>Normalized Shannon entropy: -sum(p*ln(p))/ln(k); zero for k&lt;=1.</x:v>
      </x:c>
      <x:c r="E23" s="22" t="str">
        <x:v>no</x:v>
      </x:c>
      <x:c r="F23" s="20" t="n">
        <x:v>0.4854331026598125</x:v>
      </x:c>
      <x:c r="G23" s="20" t="n">
        <x:v>0.49678666164375535</x:v>
      </x:c>
      <x:c r="H23" s="22" t="str">
        <x:v>no</x:v>
      </x:c>
    </x:row>
    <x:row r="24" ht="43" customHeight="1">
      <x:c r="A24" s="8" t="n">
        <x:v>19</x:v>
      </x:c>
      <x:c r="B24" s="8" t="str">
        <x:v>dst_port_nunique</x:v>
      </x:c>
      <x:c r="C24" s="8" t="str">
        <x:v>Diversity</x:v>
      </x:c>
      <x:c r="D24" s="21" t="str">
        <x:v>Distinct original values in the bucket; DNS/ICMP only use eligible flows.</x:v>
      </x:c>
      <x:c r="E24" s="22" t="str">
        <x:v>yes</x:v>
      </x:c>
      <x:c r="F24" s="20" t="n">
        <x:v>0.8142373809471031</x:v>
      </x:c>
      <x:c r="G24" s="20" t="n">
        <x:v>0.2687109993440561</x:v>
      </x:c>
      <x:c r="H24" s="22" t="str">
        <x:v>no</x:v>
      </x:c>
    </x:row>
    <x:row r="25" ht="43" customHeight="1">
      <x:c r="A25" s="8" t="n">
        <x:v>20</x:v>
      </x:c>
      <x:c r="B25" s="8" t="str">
        <x:v>dst_port_reuse_ratio</x:v>
      </x:c>
      <x:c r="C25" s="8" t="str">
        <x:v>Diversity</x:v>
      </x:c>
      <x:c r="D25" s="21" t="str">
        <x:v>1 - distinct category count / total bucket flow count.</x:v>
      </x:c>
      <x:c r="E25" s="22" t="str">
        <x:v>no</x:v>
      </x:c>
      <x:c r="F25" s="20" t="n">
        <x:v>0.2985830762472393</x:v>
      </x:c>
      <x:c r="G25" s="20" t="n">
        <x:v>0.33886353960608584</x:v>
      </x:c>
      <x:c r="H25" s="22" t="str">
        <x:v>no</x:v>
      </x:c>
    </x:row>
    <x:row r="26" ht="43" customHeight="1">
      <x:c r="A26" s="8" t="n">
        <x:v>21</x:v>
      </x:c>
      <x:c r="B26" s="8" t="str">
        <x:v>dst_port_top1_ratio</x:v>
      </x:c>
      <x:c r="C26" s="8" t="str">
        <x:v>Diversity</x:v>
      </x:c>
      <x:c r="D26" s="21" t="str">
        <x:v>Most frequent category count / all applicable flow counts; DNS/ICMP use their eligible population.</x:v>
      </x:c>
      <x:c r="E26" s="22" t="str">
        <x:v>no</x:v>
      </x:c>
      <x:c r="F26" s="20" t="n">
        <x:v>0.9057086179541822</x:v>
      </x:c>
      <x:c r="G26" s="20" t="n">
        <x:v>0.2055203099199355</x:v>
      </x:c>
      <x:c r="H26" s="22" t="str">
        <x:v>no</x:v>
      </x:c>
    </x:row>
    <x:row r="27" ht="43" customHeight="1">
      <x:c r="A27" s="8" t="n">
        <x:v>22</x:v>
      </x:c>
      <x:c r="B27" s="8" t="str">
        <x:v>dst_port_entropy</x:v>
      </x:c>
      <x:c r="C27" s="8" t="str">
        <x:v>Diversity</x:v>
      </x:c>
      <x:c r="D27" s="21" t="str">
        <x:v>Normalized Shannon entropy: -sum(p*ln(p))/ln(k); zero for k&lt;=1.</x:v>
      </x:c>
      <x:c r="E27" s="22" t="str">
        <x:v>no</x:v>
      </x:c>
      <x:c r="F27" s="20" t="n">
        <x:v>0.1790865103939462</x:v>
      </x:c>
      <x:c r="G27" s="20" t="n">
        <x:v>0.36587854858723795</x:v>
      </x:c>
      <x:c r="H27" s="22" t="str">
        <x:v>no</x:v>
      </x:c>
    </x:row>
    <x:row r="28" ht="43" customHeight="1">
      <x:c r="A28" s="8" t="n">
        <x:v>23</x:v>
      </x:c>
      <x:c r="B28" s="8" t="str">
        <x:v>tcp_flag_fin_ratio</x:v>
      </x:c>
      <x:c r="C28" s="8" t="str">
        <x:v>TCP flags</x:v>
      </x:c>
      <x:c r="D28" s="21" t="str">
        <x:v>TCP flows containing the named bit / TCP flow count; zero when no TCP flow.</x:v>
      </x:c>
      <x:c r="E28" s="22" t="str">
        <x:v>no</x:v>
      </x:c>
      <x:c r="F28" s="20" t="n">
        <x:v>0.31210086907210965</x:v>
      </x:c>
      <x:c r="G28" s="20" t="n">
        <x:v>0.43195653634840275</x:v>
      </x:c>
      <x:c r="H28" s="22" t="str">
        <x:v>no</x:v>
      </x:c>
    </x:row>
    <x:row r="29" ht="43" customHeight="1">
      <x:c r="A29" s="8" t="n">
        <x:v>24</x:v>
      </x:c>
      <x:c r="B29" s="8" t="str">
        <x:v>tcp_flag_syn_ratio</x:v>
      </x:c>
      <x:c r="C29" s="8" t="str">
        <x:v>TCP flags</x:v>
      </x:c>
      <x:c r="D29" s="21" t="str">
        <x:v>TCP flows containing the named bit / TCP flow count; zero when no TCP flow.</x:v>
      </x:c>
      <x:c r="E29" s="22" t="str">
        <x:v>no</x:v>
      </x:c>
      <x:c r="F29" s="20" t="n">
        <x:v>0.7160302388980058</x:v>
      </x:c>
      <x:c r="G29" s="20" t="n">
        <x:v>0.4435387707661294</x:v>
      </x:c>
      <x:c r="H29" s="22" t="str">
        <x:v>no</x:v>
      </x:c>
    </x:row>
    <x:row r="30" ht="43" customHeight="1">
      <x:c r="A30" s="8" t="n">
        <x:v>25</x:v>
      </x:c>
      <x:c r="B30" s="8" t="str">
        <x:v>tcp_flag_rst_ratio</x:v>
      </x:c>
      <x:c r="C30" s="8" t="str">
        <x:v>TCP flags</x:v>
      </x:c>
      <x:c r="D30" s="21" t="str">
        <x:v>TCP flows containing the named bit / TCP flow count; zero when no TCP flow.</x:v>
      </x:c>
      <x:c r="E30" s="22" t="str">
        <x:v>no</x:v>
      </x:c>
      <x:c r="F30" s="20" t="n">
        <x:v>0.46672164027495816</x:v>
      </x:c>
      <x:c r="G30" s="20" t="n">
        <x:v>0.48466432114122254</x:v>
      </x:c>
      <x:c r="H30" s="22" t="str">
        <x:v>no</x:v>
      </x:c>
    </x:row>
    <x:row r="31" ht="43" customHeight="1">
      <x:c r="A31" s="8" t="n">
        <x:v>26</x:v>
      </x:c>
      <x:c r="B31" s="8" t="str">
        <x:v>tcp_flag_psh_ratio</x:v>
      </x:c>
      <x:c r="C31" s="8" t="str">
        <x:v>TCP flags</x:v>
      </x:c>
      <x:c r="D31" s="21" t="str">
        <x:v>TCP flows containing the named bit / TCP flow count; zero when no TCP flow.</x:v>
      </x:c>
      <x:c r="E31" s="22" t="str">
        <x:v>no</x:v>
      </x:c>
      <x:c r="F31" s="20" t="n">
        <x:v>0.5742910074130934</x:v>
      </x:c>
      <x:c r="G31" s="20" t="n">
        <x:v>0.46779624613726983</x:v>
      </x:c>
      <x:c r="H31" s="22" t="str">
        <x:v>no</x:v>
      </x:c>
    </x:row>
    <x:row r="32" ht="43" customHeight="1">
      <x:c r="A32" s="8" t="n">
        <x:v>27</x:v>
      </x:c>
      <x:c r="B32" s="8" t="str">
        <x:v>tcp_flag_ack_ratio</x:v>
      </x:c>
      <x:c r="C32" s="8" t="str">
        <x:v>TCP flags</x:v>
      </x:c>
      <x:c r="D32" s="21" t="str">
        <x:v>TCP flows containing the named bit / TCP flow count; zero when no TCP flow.</x:v>
      </x:c>
      <x:c r="E32" s="22" t="str">
        <x:v>no</x:v>
      </x:c>
      <x:c r="F32" s="20" t="n">
        <x:v>0.7542703464031167</x:v>
      </x:c>
      <x:c r="G32" s="20" t="n">
        <x:v>0.42972296173308</x:v>
      </x:c>
      <x:c r="H32" s="22" t="str">
        <x:v>no</x:v>
      </x:c>
    </x:row>
    <x:row r="33" ht="43" customHeight="1">
      <x:c r="A33" s="8" t="n">
        <x:v>28</x:v>
      </x:c>
      <x:c r="B33" s="8" t="str">
        <x:v>tcp_flag_urg_ratio</x:v>
      </x:c>
      <x:c r="C33" s="8" t="str">
        <x:v>TCP flags</x:v>
      </x:c>
      <x:c r="D33" s="21" t="str">
        <x:v>TCP flows containing the named bit / TCP flow count; zero when no TCP flow.</x:v>
      </x:c>
      <x:c r="E33" s="22" t="str">
        <x:v>no</x:v>
      </x:c>
      <x:c r="F33" s="20" t="n">
        <x:v>0.000006943720704081972</x:v>
      </x:c>
      <x:c r="G33" s="20" t="n">
        <x:v>0.000958608806499122</x:v>
      </x:c>
      <x:c r="H33" s="22" t="str">
        <x:v>no</x:v>
      </x:c>
    </x:row>
    <x:row r="34" ht="43" customHeight="1">
      <x:c r="A34" s="8" t="n">
        <x:v>29</x:v>
      </x:c>
      <x:c r="B34" s="8" t="str">
        <x:v>tcp_flag_ece_ratio</x:v>
      </x:c>
      <x:c r="C34" s="8" t="str">
        <x:v>TCP flags</x:v>
      </x:c>
      <x:c r="D34" s="21" t="str">
        <x:v>TCP flows containing the named bit / TCP flow count; zero when no TCP flow.</x:v>
      </x:c>
      <x:c r="E34" s="22" t="str">
        <x:v>no</x:v>
      </x:c>
      <x:c r="F34" s="20" t="n">
        <x:v>0.2608156313093825</x:v>
      </x:c>
      <x:c r="G34" s="20" t="n">
        <x:v>0.4346570231972171</x:v>
      </x:c>
      <x:c r="H34" s="22" t="str">
        <x:v>no</x:v>
      </x:c>
    </x:row>
    <x:row r="35" ht="43" customHeight="1">
      <x:c r="A35" s="8" t="n">
        <x:v>30</x:v>
      </x:c>
      <x:c r="B35" s="8" t="str">
        <x:v>tcp_flag_cwr_ratio</x:v>
      </x:c>
      <x:c r="C35" s="8" t="str">
        <x:v>TCP flags</x:v>
      </x:c>
      <x:c r="D35" s="21" t="str">
        <x:v>TCP flows containing the named bit / TCP flow count; zero when no TCP flow.</x:v>
      </x:c>
      <x:c r="E35" s="22" t="str">
        <x:v>no</x:v>
      </x:c>
      <x:c r="F35" s="20" t="n">
        <x:v>0.2609976059895915</x:v>
      </x:c>
      <x:c r="G35" s="20" t="n">
        <x:v>0.4347438835413063</x:v>
      </x:c>
      <x:c r="H35" s="22" t="str">
        <x:v>no</x:v>
      </x:c>
    </x:row>
    <x:row r="36" ht="43" customHeight="1">
      <x:c r="A36" s="8" t="n">
        <x:v>31</x:v>
      </x:c>
      <x:c r="B36" s="8" t="str">
        <x:v>client_tcp_flag_fin_ratio</x:v>
      </x:c>
      <x:c r="C36" s="8" t="str">
        <x:v>TCP flags</x:v>
      </x:c>
      <x:c r="D36" s="21" t="str">
        <x:v>TCP flows containing the named bit / TCP flow count; zero when no TCP flow.</x:v>
      </x:c>
      <x:c r="E36" s="22" t="str">
        <x:v>no</x:v>
      </x:c>
      <x:c r="F36" s="20" t="n">
        <x:v>0.31026567279648803</x:v>
      </x:c>
      <x:c r="G36" s="20" t="n">
        <x:v>0.43113396868095666</x:v>
      </x:c>
      <x:c r="H36" s="22" t="str">
        <x:v>no</x:v>
      </x:c>
    </x:row>
    <x:row r="37" ht="43" customHeight="1">
      <x:c r="A37" s="8" t="n">
        <x:v>32</x:v>
      </x:c>
      <x:c r="B37" s="8" t="str">
        <x:v>client_tcp_flag_syn_ratio</x:v>
      </x:c>
      <x:c r="C37" s="8" t="str">
        <x:v>TCP flags</x:v>
      </x:c>
      <x:c r="D37" s="21" t="str">
        <x:v>TCP flows containing the named bit / TCP flow count; zero when no TCP flow.</x:v>
      </x:c>
      <x:c r="E37" s="22" t="str">
        <x:v>no</x:v>
      </x:c>
      <x:c r="F37" s="20" t="n">
        <x:v>0.7160297282100863</x:v>
      </x:c>
      <x:c r="G37" s="20" t="n">
        <x:v>0.44353901950170066</x:v>
      </x:c>
      <x:c r="H37" s="22" t="str">
        <x:v>no</x:v>
      </x:c>
    </x:row>
    <x:row r="38" ht="43" customHeight="1">
      <x:c r="A38" s="8" t="n">
        <x:v>33</x:v>
      </x:c>
      <x:c r="B38" s="8" t="str">
        <x:v>client_tcp_flag_rst_ratio</x:v>
      </x:c>
      <x:c r="C38" s="8" t="str">
        <x:v>TCP flags</x:v>
      </x:c>
      <x:c r="D38" s="21" t="str">
        <x:v>TCP flows containing the named bit / TCP flow count; zero when no TCP flow.</x:v>
      </x:c>
      <x:c r="E38" s="22" t="str">
        <x:v>no</x:v>
      </x:c>
      <x:c r="F38" s="20" t="n">
        <x:v>0.30723610291679443</x:v>
      </x:c>
      <x:c r="G38" s="20" t="n">
        <x:v>0.44687294752163</x:v>
      </x:c>
      <x:c r="H38" s="22" t="str">
        <x:v>no</x:v>
      </x:c>
    </x:row>
    <x:row r="39" ht="43" customHeight="1">
      <x:c r="A39" s="8" t="n">
        <x:v>34</x:v>
      </x:c>
      <x:c r="B39" s="8" t="str">
        <x:v>client_tcp_flag_psh_ratio</x:v>
      </x:c>
      <x:c r="C39" s="8" t="str">
        <x:v>TCP flags</x:v>
      </x:c>
      <x:c r="D39" s="21" t="str">
        <x:v>TCP flows containing the named bit / TCP flow count; zero when no TCP flow.</x:v>
      </x:c>
      <x:c r="E39" s="22" t="str">
        <x:v>no</x:v>
      </x:c>
      <x:c r="F39" s="20" t="n">
        <x:v>0.5721342819932225</x:v>
      </x:c>
      <x:c r="G39" s="20" t="n">
        <x:v>0.4679472429375993</x:v>
      </x:c>
      <x:c r="H39" s="22" t="str">
        <x:v>no</x:v>
      </x:c>
    </x:row>
    <x:row r="40" ht="43" customHeight="1">
      <x:c r="A40" s="8" t="n">
        <x:v>35</x:v>
      </x:c>
      <x:c r="B40" s="8" t="str">
        <x:v>client_tcp_flag_ack_ratio</x:v>
      </x:c>
      <x:c r="C40" s="8" t="str">
        <x:v>TCP flags</x:v>
      </x:c>
      <x:c r="D40" s="21" t="str">
        <x:v>TCP flows containing the named bit / TCP flow count; zero when no TCP flow.</x:v>
      </x:c>
      <x:c r="E40" s="22" t="str">
        <x:v>no</x:v>
      </x:c>
      <x:c r="F40" s="20" t="n">
        <x:v>0.7421333939137001</x:v>
      </x:c>
      <x:c r="G40" s="20" t="n">
        <x:v>0.4354378353224782</x:v>
      </x:c>
      <x:c r="H40" s="22" t="str">
        <x:v>no</x:v>
      </x:c>
    </x:row>
    <x:row r="41" ht="43" customHeight="1">
      <x:c r="A41" s="8" t="n">
        <x:v>36</x:v>
      </x:c>
      <x:c r="B41" s="8" t="str">
        <x:v>client_tcp_flag_urg_ratio</x:v>
      </x:c>
      <x:c r="C41" s="8" t="str">
        <x:v>TCP flags</x:v>
      </x:c>
      <x:c r="D41" s="21" t="str">
        <x:v>TCP flows containing the named bit / TCP flow count; zero when no TCP flow.</x:v>
      </x:c>
      <x:c r="E41" s="22" t="str">
        <x:v>no</x:v>
      </x:c>
      <x:c r="F41" s="20" t="n">
        <x:v>0.000006943720704081972</x:v>
      </x:c>
      <x:c r="G41" s="20" t="n">
        <x:v>0.000958608806499122</x:v>
      </x:c>
      <x:c r="H41" s="22" t="str">
        <x:v>no</x:v>
      </x:c>
    </x:row>
    <x:row r="42" ht="43" customHeight="1">
      <x:c r="A42" s="8" t="n">
        <x:v>37</x:v>
      </x:c>
      <x:c r="B42" s="8" t="str">
        <x:v>client_tcp_flag_ece_ratio</x:v>
      </x:c>
      <x:c r="C42" s="8" t="str">
        <x:v>TCP flags</x:v>
      </x:c>
      <x:c r="D42" s="21" t="str">
        <x:v>TCP flows containing the named bit / TCP flow count; zero when no TCP flow.</x:v>
      </x:c>
      <x:c r="E42" s="22" t="str">
        <x:v>no</x:v>
      </x:c>
      <x:c r="F42" s="20" t="n">
        <x:v>0.2608035958969975</x:v>
      </x:c>
      <x:c r="G42" s="20" t="n">
        <x:v>0.43465955833118075</x:v>
      </x:c>
      <x:c r="H42" s="22" t="str">
        <x:v>no</x:v>
      </x:c>
    </x:row>
    <x:row r="43" ht="43" customHeight="1">
      <x:c r="A43" s="8" t="n">
        <x:v>38</x:v>
      </x:c>
      <x:c r="B43" s="8" t="str">
        <x:v>client_tcp_flag_cwr_ratio</x:v>
      </x:c>
      <x:c r="C43" s="8" t="str">
        <x:v>TCP flags</x:v>
      </x:c>
      <x:c r="D43" s="21" t="str">
        <x:v>TCP flows containing the named bit / TCP flow count; zero when no TCP flow.</x:v>
      </x:c>
      <x:c r="E43" s="22" t="str">
        <x:v>no</x:v>
      </x:c>
      <x:c r="F43" s="20" t="n">
        <x:v>0.2609614067925326</x:v>
      </x:c>
      <x:c r="G43" s="20" t="n">
        <x:v>0.43474714110211826</x:v>
      </x:c>
      <x:c r="H43" s="22" t="str">
        <x:v>no</x:v>
      </x:c>
    </x:row>
    <x:row r="44" ht="43" customHeight="1">
      <x:c r="A44" s="8" t="n">
        <x:v>39</x:v>
      </x:c>
      <x:c r="B44" s="8" t="str">
        <x:v>server_tcp_flag_fin_ratio</x:v>
      </x:c>
      <x:c r="C44" s="8" t="str">
        <x:v>TCP flags</x:v>
      </x:c>
      <x:c r="D44" s="21" t="str">
        <x:v>TCP flows containing the named bit / TCP flow count; zero when no TCP flow.</x:v>
      </x:c>
      <x:c r="E44" s="22" t="str">
        <x:v>no</x:v>
      </x:c>
      <x:c r="F44" s="20" t="n">
        <x:v>0.15929678897070346</x:v>
      </x:c>
      <x:c r="G44" s="20" t="n">
        <x:v>0.3480215745363384</x:v>
      </x:c>
      <x:c r="H44" s="22" t="str">
        <x:v>no</x:v>
      </x:c>
    </x:row>
    <x:row r="45" ht="43" customHeight="1">
      <x:c r="A45" s="8" t="n">
        <x:v>40</x:v>
      </x:c>
      <x:c r="B45" s="8" t="str">
        <x:v>server_tcp_flag_syn_ratio</x:v>
      </x:c>
      <x:c r="C45" s="8" t="str">
        <x:v>TCP flags</x:v>
      </x:c>
      <x:c r="D45" s="21" t="str">
        <x:v>TCP flows containing the named bit / TCP flow count; zero when no TCP flow.</x:v>
      </x:c>
      <x:c r="E45" s="22" t="str">
        <x:v>no</x:v>
      </x:c>
      <x:c r="F45" s="20" t="n">
        <x:v>0.5631717414394689</x:v>
      </x:c>
      <x:c r="G45" s="20" t="n">
        <x:v>0.489067222907942</x:v>
      </x:c>
      <x:c r="H45" s="22" t="str">
        <x:v>no</x:v>
      </x:c>
    </x:row>
    <x:row r="46" ht="43" customHeight="1">
      <x:c r="A46" s="8" t="n">
        <x:v>41</x:v>
      </x:c>
      <x:c r="B46" s="8" t="str">
        <x:v>server_tcp_flag_rst_ratio</x:v>
      </x:c>
      <x:c r="C46" s="8" t="str">
        <x:v>TCP flags</x:v>
      </x:c>
      <x:c r="D46" s="21" t="str">
        <x:v>TCP flows containing the named bit / TCP flow count; zero when no TCP flow.</x:v>
      </x:c>
      <x:c r="E46" s="22" t="str">
        <x:v>no</x:v>
      </x:c>
      <x:c r="F46" s="20" t="n">
        <x:v>0.16793589810624837</x:v>
      </x:c>
      <x:c r="G46" s="20" t="n">
        <x:v>0.3660755103040822</x:v>
      </x:c>
      <x:c r="H46" s="22" t="str">
        <x:v>no</x:v>
      </x:c>
    </x:row>
    <x:row r="47" ht="43" customHeight="1">
      <x:c r="A47" s="8" t="n">
        <x:v>42</x:v>
      </x:c>
      <x:c r="B47" s="8" t="str">
        <x:v>server_tcp_flag_psh_ratio</x:v>
      </x:c>
      <x:c r="C47" s="8" t="str">
        <x:v>TCP flags</x:v>
      </x:c>
      <x:c r="D47" s="21" t="str">
        <x:v>TCP flows containing the named bit / TCP flow count; zero when no TCP flow.</x:v>
      </x:c>
      <x:c r="E47" s="22" t="str">
        <x:v>no</x:v>
      </x:c>
      <x:c r="F47" s="20" t="n">
        <x:v>0.5433251424106283</x:v>
      </x:c>
      <x:c r="G47" s="20" t="n">
        <x:v>0.4691537833581611</x:v>
      </x:c>
      <x:c r="H47" s="22" t="str">
        <x:v>no</x:v>
      </x:c>
    </x:row>
    <x:row r="48" ht="43" customHeight="1">
      <x:c r="A48" s="8" t="n">
        <x:v>43</x:v>
      </x:c>
      <x:c r="B48" s="8" t="str">
        <x:v>server_tcp_flag_ack_ratio</x:v>
      </x:c>
      <x:c r="C48" s="8" t="str">
        <x:v>TCP flags</x:v>
      </x:c>
      <x:c r="D48" s="21" t="str">
        <x:v>TCP flows containing the named bit / TCP flow count; zero when no TCP flow.</x:v>
      </x:c>
      <x:c r="E48" s="22" t="str">
        <x:v>no</x:v>
      </x:c>
      <x:c r="F48" s="20" t="n">
        <x:v>0.6597342968208115</x:v>
      </x:c>
      <x:c r="G48" s="20" t="n">
        <x:v>0.46827234606661283</x:v>
      </x:c>
      <x:c r="H48" s="22" t="str">
        <x:v>no</x:v>
      </x:c>
    </x:row>
    <x:row r="49" ht="43" customHeight="1">
      <x:c r="A49" s="8" t="n">
        <x:v>44</x:v>
      </x:c>
      <x:c r="B49" s="8" t="str">
        <x:v>server_tcp_flag_ece_ratio</x:v>
      </x:c>
      <x:c r="C49" s="8" t="str">
        <x:v>TCP flags</x:v>
      </x:c>
      <x:c r="D49" s="21" t="str">
        <x:v>TCP flows containing the named bit / TCP flow count; zero when no TCP flow.</x:v>
      </x:c>
      <x:c r="E49" s="22" t="str">
        <x:v>no</x:v>
      </x:c>
      <x:c r="F49" s="20" t="n">
        <x:v>0.14222050941730713</x:v>
      </x:c>
      <x:c r="G49" s="20" t="n">
        <x:v>0.32833370941057044</x:v>
      </x:c>
      <x:c r="H49" s="22" t="str">
        <x:v>no</x:v>
      </x:c>
    </x:row>
    <x:row r="50" ht="43" customHeight="1">
      <x:c r="A50" s="8" t="n">
        <x:v>45</x:v>
      </x:c>
      <x:c r="B50" s="8" t="str">
        <x:v>server_tcp_flag_cwr_ratio</x:v>
      </x:c>
      <x:c r="C50" s="8" t="str">
        <x:v>TCP flags</x:v>
      </x:c>
      <x:c r="D50" s="21" t="str">
        <x:v>TCP flows containing the named bit / TCP flow count; zero when no TCP flow.</x:v>
      </x:c>
      <x:c r="E50" s="22" t="str">
        <x:v>no</x:v>
      </x:c>
      <x:c r="F50" s="20" t="n">
        <x:v>0.0024301927827298556</x:v>
      </x:c>
      <x:c r="G50" s="20" t="n">
        <x:v>0.04130675876616496</x:v>
      </x:c>
      <x:c r="H50" s="22" t="str">
        <x:v>no</x:v>
      </x:c>
    </x:row>
    <x:row r="51" ht="43" customHeight="1">
      <x:c r="A51" s="8" t="n">
        <x:v>46</x:v>
      </x:c>
      <x:c r="B51" s="8" t="str">
        <x:v>icmp_flow_ratio</x:v>
      </x:c>
      <x:c r="C51" s="8" t="str">
        <x:v>Protocol presence</x:v>
      </x:c>
      <x:c r="D51" s="21" t="str">
        <x:v>Protocol or legacy DNS-presence flow fraction over all bucket starts.</x:v>
      </x:c>
      <x:c r="E51" s="22" t="str">
        <x:v>no</x:v>
      </x:c>
      <x:c r="F51" s="20" t="n">
        <x:v>0.0074054115458227375</x:v>
      </x:c>
      <x:c r="G51" s="20" t="n">
        <x:v>0.08504459764099431</x:v>
      </x:c>
      <x:c r="H51" s="22" t="str">
        <x:v>no</x:v>
      </x:c>
    </x:row>
    <x:row r="52" ht="43" customHeight="1">
      <x:c r="A52" s="8" t="n">
        <x:v>47</x:v>
      </x:c>
      <x:c r="B52" s="8" t="str">
        <x:v>icmp_type_nunique</x:v>
      </x:c>
      <x:c r="C52" s="8" t="str">
        <x:v>Diversity</x:v>
      </x:c>
      <x:c r="D52" s="21" t="str">
        <x:v>Distinct original values in the bucket; DNS/ICMP only use eligible flows.</x:v>
      </x:c>
      <x:c r="E52" s="22" t="str">
        <x:v>yes</x:v>
      </x:c>
      <x:c r="F52" s="20" t="n">
        <x:v>0.0053582240276301716</x:v>
      </x:c>
      <x:c r="G52" s="20" t="n">
        <x:v>0.06070689674847516</x:v>
      </x:c>
      <x:c r="H52" s="22" t="str">
        <x:v>no</x:v>
      </x:c>
    </x:row>
    <x:row r="53" ht="43" customHeight="1">
      <x:c r="A53" s="8" t="n">
        <x:v>48</x:v>
      </x:c>
      <x:c r="B53" s="8" t="str">
        <x:v>icmp_type_top1_ratio</x:v>
      </x:c>
      <x:c r="C53" s="8" t="str">
        <x:v>Diversity</x:v>
      </x:c>
      <x:c r="D53" s="21" t="str">
        <x:v>Most frequent category count / all applicable flow counts; DNS/ICMP use their eligible population.</x:v>
      </x:c>
      <x:c r="E53" s="22" t="str">
        <x:v>no</x:v>
      </x:c>
      <x:c r="F53" s="20" t="n">
        <x:v>0.007730283232633941</x:v>
      </x:c>
      <x:c r="G53" s="20" t="n">
        <x:v>0.08758153888678594</x:v>
      </x:c>
      <x:c r="H53" s="22" t="str">
        <x:v>no</x:v>
      </x:c>
    </x:row>
    <x:row r="54" ht="43" customHeight="1">
      <x:c r="A54" s="8" t="n">
        <x:v>49</x:v>
      </x:c>
      <x:c r="B54" s="8" t="str">
        <x:v>icmp_type_entropy</x:v>
      </x:c>
      <x:c r="C54" s="8" t="str">
        <x:v>Diversity</x:v>
      </x:c>
      <x:c r="D54" s="21" t="str">
        <x:v>Normalized Shannon entropy: -sum(p*ln(p))/ln(k); zero for k&lt;=1.</x:v>
      </x:c>
      <x:c r="E54" s="22" t="str">
        <x:v>no</x:v>
      </x:c>
      <x:c r="F54" s="20" t="n">
        <x:v>0</x:v>
      </x:c>
      <x:c r="G54" s="20" t="n">
        <x:v>1</x:v>
      </x:c>
      <x:c r="H54" s="22" t="str">
        <x:v>yes</x:v>
      </x:c>
    </x:row>
    <x:row r="55" ht="43" customHeight="1">
      <x:c r="A55" s="8" t="n">
        <x:v>50</x:v>
      </x:c>
      <x:c r="B55" s="8" t="str">
        <x:v>dns_flow_ratio</x:v>
      </x:c>
      <x:c r="C55" s="8" t="str">
        <x:v>Protocol presence</x:v>
      </x:c>
      <x:c r="D55" s="21" t="str">
        <x:v>Protocol or legacy DNS-presence flow fraction over all bucket starts.</x:v>
      </x:c>
      <x:c r="E55" s="22" t="str">
        <x:v>no</x:v>
      </x:c>
      <x:c r="F55" s="20" t="n">
        <x:v>0.12093868904379752</x:v>
      </x:c>
      <x:c r="G55" s="20" t="n">
        <x:v>0.29214723024975797</x:v>
      </x:c>
      <x:c r="H55" s="22" t="str">
        <x:v>no</x:v>
      </x:c>
    </x:row>
    <x:row r="56" ht="43" customHeight="1">
      <x:c r="A56" s="8" t="n">
        <x:v>51</x:v>
      </x:c>
      <x:c r="B56" s="8" t="str">
        <x:v>dns_query_type_nunique</x:v>
      </x:c>
      <x:c r="C56" s="8" t="str">
        <x:v>Diversity</x:v>
      </x:c>
      <x:c r="D56" s="21" t="str">
        <x:v>Distinct original values in the bucket; DNS/ICMP only use eligible flows.</x:v>
      </x:c>
      <x:c r="E56" s="22" t="str">
        <x:v>yes</x:v>
      </x:c>
      <x:c r="F56" s="20" t="n">
        <x:v>0.1370565068557102</x:v>
      </x:c>
      <x:c r="G56" s="20" t="n">
        <x:v>0.32140135591765434</x:v>
      </x:c>
      <x:c r="H56" s="22" t="str">
        <x:v>no</x:v>
      </x:c>
    </x:row>
    <x:row r="57" ht="43" customHeight="1">
      <x:c r="A57" s="8" t="n">
        <x:v>52</x:v>
      </x:c>
      <x:c r="B57" s="8" t="str">
        <x:v>dns_query_type_top1_ratio</x:v>
      </x:c>
      <x:c r="C57" s="8" t="str">
        <x:v>Diversity</x:v>
      </x:c>
      <x:c r="D57" s="21" t="str">
        <x:v>Most frequent category count / all applicable flow counts; DNS/ICMP use their eligible population.</x:v>
      </x:c>
      <x:c r="E57" s="22" t="str">
        <x:v>no</x:v>
      </x:c>
      <x:c r="F57" s="20" t="n">
        <x:v>0.14402528657568706</x:v>
      </x:c>
      <x:c r="G57" s="20" t="n">
        <x:v>0.3334057230878483</x:v>
      </x:c>
      <x:c r="H57" s="22" t="str">
        <x:v>no</x:v>
      </x:c>
    </x:row>
    <x:row r="58" ht="43" customHeight="1">
      <x:c r="A58" s="8" t="n">
        <x:v>53</x:v>
      </x:c>
      <x:c r="B58" s="8" t="str">
        <x:v>dns_query_type_entropy</x:v>
      </x:c>
      <x:c r="C58" s="8" t="str">
        <x:v>Diversity</x:v>
      </x:c>
      <x:c r="D58" s="21" t="str">
        <x:v>Normalized Shannon entropy: -sum(p*ln(p))/ln(k); zero for k&lt;=1.</x:v>
      </x:c>
      <x:c r="E58" s="22" t="str">
        <x:v>no</x:v>
      </x:c>
      <x:c r="F58" s="20" t="n">
        <x:v>0.05111652063889567</x:v>
      </x:c>
      <x:c r="G58" s="20" t="n">
        <x:v>0.20451026710113562</x:v>
      </x:c>
      <x:c r="H58" s="22" t="str">
        <x:v>no</x:v>
      </x:c>
    </x:row>
    <x:row r="59" ht="43" customHeight="1">
      <x:c r="A59" s="8" t="n">
        <x:v>54</x:v>
      </x:c>
      <x:c r="B59" s="8" t="str">
        <x:v>dst_ip_nunique</x:v>
      </x:c>
      <x:c r="C59" s="8" t="str">
        <x:v>Diversity</x:v>
      </x:c>
      <x:c r="D59" s="21" t="str">
        <x:v>Distinct original values in the bucket; DNS/ICMP only use eligible flows.</x:v>
      </x:c>
      <x:c r="E59" s="22" t="str">
        <x:v>yes</x:v>
      </x:c>
      <x:c r="F59" s="20" t="n">
        <x:v>0.9282336987365388</x:v>
      </x:c>
      <x:c r="G59" s="20" t="n">
        <x:v>0.4931028796965334</x:v>
      </x:c>
      <x:c r="H59" s="22" t="str">
        <x:v>no</x:v>
      </x:c>
    </x:row>
    <x:row r="60" ht="43" customHeight="1">
      <x:c r="A60" s="8" t="n">
        <x:v>55</x:v>
      </x:c>
      <x:c r="B60" s="8" t="str">
        <x:v>dst_ip_reuse_ratio</x:v>
      </x:c>
      <x:c r="C60" s="8" t="str">
        <x:v>Diversity</x:v>
      </x:c>
      <x:c r="D60" s="21" t="str">
        <x:v>1 - distinct category count / total bucket flow count.</x:v>
      </x:c>
      <x:c r="E60" s="22" t="str">
        <x:v>no</x:v>
      </x:c>
      <x:c r="F60" s="20" t="n">
        <x:v>0.24653046805683287</x:v>
      </x:c>
      <x:c r="G60" s="20" t="n">
        <x:v>0.30395028064233376</x:v>
      </x:c>
      <x:c r="H60" s="22" t="str">
        <x:v>no</x:v>
      </x:c>
    </x:row>
    <x:row r="61" ht="43" customHeight="1">
      <x:c r="A61" s="8" t="n">
        <x:v>56</x:v>
      </x:c>
      <x:c r="B61" s="8" t="str">
        <x:v>dst_ip_top1_ratio</x:v>
      </x:c>
      <x:c r="C61" s="8" t="str">
        <x:v>Diversity</x:v>
      </x:c>
      <x:c r="D61" s="21" t="str">
        <x:v>Most frequent category count / all applicable flow counts; DNS/ICMP use their eligible population.</x:v>
      </x:c>
      <x:c r="E61" s="22" t="str">
        <x:v>no</x:v>
      </x:c>
      <x:c r="F61" s="20" t="n">
        <x:v>0.8501672049806251</x:v>
      </x:c>
      <x:c r="G61" s="20" t="n">
        <x:v>0.2600078597727965</x:v>
      </x:c>
      <x:c r="H61" s="22" t="str">
        <x:v>no</x:v>
      </x:c>
    </x:row>
    <x:row r="62" ht="43" customHeight="1">
      <x:c r="A62" s="8" t="n">
        <x:v>57</x:v>
      </x:c>
      <x:c r="B62" s="8" t="str">
        <x:v>dst_ip_entropy</x:v>
      </x:c>
      <x:c r="C62" s="8" t="str">
        <x:v>Diversity</x:v>
      </x:c>
      <x:c r="D62" s="21" t="str">
        <x:v>Normalized Shannon entropy: -sum(p*ln(p))/ln(k); zero for k&lt;=1.</x:v>
      </x:c>
      <x:c r="E62" s="22" t="str">
        <x:v>no</x:v>
      </x:c>
      <x:c r="F62" s="20" t="n">
        <x:v>0.2614029578958794</x:v>
      </x:c>
      <x:c r="G62" s="20" t="n">
        <x:v>0.42165837693481373</x:v>
      </x:c>
      <x:c r="H62" s="22" t="str">
        <x:v>no</x:v>
      </x:c>
    </x:row>
    <x:row r="63" ht="43" customHeight="1">
      <x:c r="A63" s="8" t="n">
        <x:v>58</x:v>
      </x:c>
      <x:c r="B63" s="8" t="str">
        <x:v>duration_in_mean</x:v>
      </x:c>
      <x:c r="C63" s="8" t="str">
        <x:v>Duration</x:v>
      </x:c>
      <x:c r="D63" s="21" t="str">
        <x:v>Named mean/min/max of the exported per-flow duration in milliseconds; stored zeros retained.</x:v>
      </x:c>
      <x:c r="E63" s="22" t="str">
        <x:v>yes</x:v>
      </x:c>
      <x:c r="F63" s="20" t="n">
        <x:v>5.348915947858247</x:v>
      </x:c>
      <x:c r="G63" s="20" t="n">
        <x:v>4.064670482155478</x:v>
      </x:c>
      <x:c r="H63" s="22" t="str">
        <x:v>no</x:v>
      </x:c>
    </x:row>
    <x:row r="64" ht="43" customHeight="1">
      <x:c r="A64" s="8" t="n">
        <x:v>59</x:v>
      </x:c>
      <x:c r="B64" s="8" t="str">
        <x:v>duration_in_max</x:v>
      </x:c>
      <x:c r="C64" s="8" t="str">
        <x:v>Duration</x:v>
      </x:c>
      <x:c r="D64" s="21" t="str">
        <x:v>Named mean/min/max of the exported per-flow duration in milliseconds; stored zeros retained.</x:v>
      </x:c>
      <x:c r="E64" s="22" t="str">
        <x:v>yes</x:v>
      </x:c>
      <x:c r="F64" s="20" t="n">
        <x:v>5.620642643757428</x:v>
      </x:c>
      <x:c r="G64" s="20" t="n">
        <x:v>4.256080367614997</x:v>
      </x:c>
      <x:c r="H64" s="22" t="str">
        <x:v>no</x:v>
      </x:c>
    </x:row>
    <x:row r="65" ht="43" customHeight="1">
      <x:c r="A65" s="8" t="n">
        <x:v>60</x:v>
      </x:c>
      <x:c r="B65" s="8" t="str">
        <x:v>duration_out_mean</x:v>
      </x:c>
      <x:c r="C65" s="8" t="str">
        <x:v>Duration</x:v>
      </x:c>
      <x:c r="D65" s="21" t="str">
        <x:v>Named mean/min/max of the exported per-flow duration in milliseconds; stored zeros retained.</x:v>
      </x:c>
      <x:c r="E65" s="22" t="str">
        <x:v>yes</x:v>
      </x:c>
      <x:c r="F65" s="20" t="n">
        <x:v>4.920628233826634</x:v>
      </x:c>
      <x:c r="G65" s="20" t="n">
        <x:v>4.225798546136481</x:v>
      </x:c>
      <x:c r="H65" s="22" t="str">
        <x:v>no</x:v>
      </x:c>
    </x:row>
    <x:row r="66" ht="43" customHeight="1">
      <x:c r="A66" s="8" t="n">
        <x:v>61</x:v>
      </x:c>
      <x:c r="B66" s="8" t="str">
        <x:v>duration_out_max</x:v>
      </x:c>
      <x:c r="C66" s="8" t="str">
        <x:v>Duration</x:v>
      </x:c>
      <x:c r="D66" s="21" t="str">
        <x:v>Named mean/min/max of the exported per-flow duration in milliseconds; stored zeros retained.</x:v>
      </x:c>
      <x:c r="E66" s="22" t="str">
        <x:v>yes</x:v>
      </x:c>
      <x:c r="F66" s="20" t="n">
        <x:v>5.158822313439968</x:v>
      </x:c>
      <x:c r="G66" s="20" t="n">
        <x:v>4.441454823969949</x:v>
      </x:c>
      <x:c r="H66" s="22" t="str">
        <x:v>no</x:v>
      </x:c>
    </x:row>
    <x:row r="67" ht="43" customHeight="1">
      <x:c r="A67" s="8" t="n">
        <x:v>62</x:v>
      </x:c>
      <x:c r="B67" s="8" t="str">
        <x:v>min_ip_pkt_len_min</x:v>
      </x:c>
      <x:c r="C67" s="8" t="str">
        <x:v>Packet size</x:v>
      </x:c>
      <x:c r="D67" s="21" t="str">
        <x:v>Named statistic of the exported per-flow packet-length extremum, in bytes; not a pooled packet mean.</x:v>
      </x:c>
      <x:c r="E67" s="22" t="str">
        <x:v>yes</x:v>
      </x:c>
      <x:c r="F67" s="20" t="n">
        <x:v>2.6780591490449037</x:v>
      </x:c>
      <x:c r="G67" s="20" t="n">
        <x:v>1.7114626507010195</x:v>
      </x:c>
      <x:c r="H67" s="22" t="str">
        <x:v>no</x:v>
      </x:c>
    </x:row>
    <x:row r="68" ht="43" customHeight="1">
      <x:c r="A68" s="8" t="n">
        <x:v>63</x:v>
      </x:c>
      <x:c r="B68" s="8" t="str">
        <x:v>min_ip_pkt_len_mean</x:v>
      </x:c>
      <x:c r="C68" s="8" t="str">
        <x:v>Packet size</x:v>
      </x:c>
      <x:c r="D68" s="21" t="str">
        <x:v>Named statistic of the exported per-flow packet-length extremum, in bytes; not a pooled packet mean.</x:v>
      </x:c>
      <x:c r="E68" s="22" t="str">
        <x:v>yes</x:v>
      </x:c>
      <x:c r="F68" s="20" t="n">
        <x:v>2.861818375373855</x:v>
      </x:c>
      <x:c r="G68" s="20" t="n">
        <x:v>1.6382999086142331</x:v>
      </x:c>
      <x:c r="H68" s="22" t="str">
        <x:v>no</x:v>
      </x:c>
    </x:row>
    <x:row r="69" ht="43" customHeight="1">
      <x:c r="A69" s="8" t="n">
        <x:v>64</x:v>
      </x:c>
      <x:c r="B69" s="8" t="str">
        <x:v>max_ip_pkt_len_mean</x:v>
      </x:c>
      <x:c r="C69" s="8" t="str">
        <x:v>Packet size</x:v>
      </x:c>
      <x:c r="D69" s="21" t="str">
        <x:v>Named statistic of the exported per-flow packet-length extremum, in bytes; not a pooled packet mean.</x:v>
      </x:c>
      <x:c r="E69" s="22" t="str">
        <x:v>yes</x:v>
      </x:c>
      <x:c r="F69" s="20" t="n">
        <x:v>5.344218528124342</x:v>
      </x:c>
      <x:c r="G69" s="20" t="n">
        <x:v>1.27853311656854</x:v>
      </x:c>
      <x:c r="H69" s="22" t="str">
        <x:v>no</x:v>
      </x:c>
    </x:row>
    <x:row r="70" ht="43" customHeight="1">
      <x:c r="A70" s="8" t="n">
        <x:v>65</x:v>
      </x:c>
      <x:c r="B70" s="8" t="str">
        <x:v>max_ip_pkt_len_max</x:v>
      </x:c>
      <x:c r="C70" s="8" t="str">
        <x:v>Packet size</x:v>
      </x:c>
      <x:c r="D70" s="21" t="str">
        <x:v>Named statistic of the exported per-flow packet-length extremum, in bytes; not a pooled packet mean.</x:v>
      </x:c>
      <x:c r="E70" s="22" t="str">
        <x:v>yes</x:v>
      </x:c>
      <x:c r="F70" s="20" t="n">
        <x:v>5.513698211293401</x:v>
      </x:c>
      <x:c r="G70" s="20" t="n">
        <x:v>1.3450281054096302</x:v>
      </x:c>
      <x:c r="H70" s="22" t="str">
        <x:v>no</x:v>
      </x:c>
    </x:row>
    <x:row r="71" ht="43" customHeight="1">
      <x:c r="A71" s="8" t="n">
        <x:v>66</x:v>
      </x:c>
      <x:c r="B71" s="8" t="str">
        <x:v>retransmitted_in_bytes_sum</x:v>
      </x:c>
      <x:c r="C71" s="8" t="str">
        <x:v>Retransmissions</x:v>
      </x:c>
      <x:c r="D71" s="21" t="str">
        <x:v>Sum of the named exported per-flow retransmission counter.</x:v>
      </x:c>
      <x:c r="E71" s="22" t="str">
        <x:v>yes</x:v>
      </x:c>
      <x:c r="F71" s="20" t="n">
        <x:v>0.6609238043536306</x:v>
      </x:c>
      <x:c r="G71" s="20" t="n">
        <x:v>1.948603709584485</x:v>
      </x:c>
      <x:c r="H71" s="22" t="str">
        <x:v>no</x:v>
      </x:c>
    </x:row>
    <x:row r="72" ht="43" customHeight="1">
      <x:c r="A72" s="8" t="n">
        <x:v>67</x:v>
      </x:c>
      <x:c r="B72" s="8" t="str">
        <x:v>retransmitted_in_pkts_sum</x:v>
      </x:c>
      <x:c r="C72" s="8" t="str">
        <x:v>Retransmissions</x:v>
      </x:c>
      <x:c r="D72" s="21" t="str">
        <x:v>Sum of the named exported per-flow retransmission counter.</x:v>
      </x:c>
      <x:c r="E72" s="22" t="str">
        <x:v>yes</x:v>
      </x:c>
      <x:c r="F72" s="20" t="n">
        <x:v>0.2298171963255003</x:v>
      </x:c>
      <x:c r="G72" s="20" t="n">
        <x:v>0.7782964525751059</x:v>
      </x:c>
      <x:c r="H72" s="22" t="str">
        <x:v>no</x:v>
      </x:c>
    </x:row>
    <x:row r="73" ht="43" customHeight="1">
      <x:c r="A73" s="8" t="n">
        <x:v>68</x:v>
      </x:c>
      <x:c r="B73" s="8" t="str">
        <x:v>retransmitted_out_bytes_sum</x:v>
      </x:c>
      <x:c r="C73" s="8" t="str">
        <x:v>Retransmissions</x:v>
      </x:c>
      <x:c r="D73" s="21" t="str">
        <x:v>Sum of the named exported per-flow retransmission counter.</x:v>
      </x:c>
      <x:c r="E73" s="22" t="str">
        <x:v>yes</x:v>
      </x:c>
      <x:c r="F73" s="20" t="n">
        <x:v>0.4751566327202826</x:v>
      </x:c>
      <x:c r="G73" s="20" t="n">
        <x:v>1.6833136580955332</x:v>
      </x:c>
      <x:c r="H73" s="22" t="str">
        <x:v>no</x:v>
      </x:c>
    </x:row>
    <x:row r="74" ht="43" customHeight="1">
      <x:c r="A74" s="8" t="n">
        <x:v>69</x:v>
      </x:c>
      <x:c r="B74" s="8" t="str">
        <x:v>retransmitted_out_pkts_sum</x:v>
      </x:c>
      <x:c r="C74" s="8" t="str">
        <x:v>Retransmissions</x:v>
      </x:c>
      <x:c r="D74" s="21" t="str">
        <x:v>Sum of the named exported per-flow retransmission counter.</x:v>
      </x:c>
      <x:c r="E74" s="22" t="str">
        <x:v>yes</x:v>
      </x:c>
      <x:c r="F74" s="20" t="n">
        <x:v>0.09108371210040504</x:v>
      </x:c>
      <x:c r="G74" s="20" t="n">
        <x:v>0.3654346388769527</x:v>
      </x:c>
      <x:c r="H74" s="22" t="str">
        <x:v>no</x:v>
      </x:c>
    </x:row>
    <x:row r="75" ht="43" customHeight="1">
      <x:c r="A75" s="8" t="n">
        <x:v>70</x:v>
      </x:c>
      <x:c r="B75" s="8" t="str">
        <x:v>num_pkts_up_to_128_bytes_ratio</x:v>
      </x:c>
      <x:c r="C75" s="8" t="str">
        <x:v>Packet-size bins</x:v>
      </x:c>
      <x:c r="D75" s="21" t="str">
        <x:v>Sum of this exported packet-size bin / sum of all five exported bins; zero denominator gives zero.</x:v>
      </x:c>
      <x:c r="E75" s="22" t="str">
        <x:v>no</x:v>
      </x:c>
      <x:c r="F75" s="20" t="n">
        <x:v>0.8012441545268781</x:v>
      </x:c>
      <x:c r="G75" s="20" t="n">
        <x:v>0.1846712071874743</x:v>
      </x:c>
      <x:c r="H75" s="22" t="str">
        <x:v>no</x:v>
      </x:c>
    </x:row>
    <x:row r="76" ht="43" customHeight="1">
      <x:c r="A76" s="8" t="n">
        <x:v>71</x:v>
      </x:c>
      <x:c r="B76" s="8" t="str">
        <x:v>num_pkts_128_to_256_bytes_ratio</x:v>
      </x:c>
      <x:c r="C76" s="8" t="str">
        <x:v>Packet-size bins</x:v>
      </x:c>
      <x:c r="D76" s="21" t="str">
        <x:v>Sum of this exported packet-size bin / sum of all five exported bins; zero denominator gives zero.</x:v>
      </x:c>
      <x:c r="E76" s="22" t="str">
        <x:v>no</x:v>
      </x:c>
      <x:c r="F76" s="20" t="n">
        <x:v>0.11976450987727152</x:v>
      </x:c>
      <x:c r="G76" s="20" t="n">
        <x:v>0.15056545004391284</x:v>
      </x:c>
      <x:c r="H76" s="22" t="str">
        <x:v>no</x:v>
      </x:c>
    </x:row>
    <x:row r="77" ht="43" customHeight="1">
      <x:c r="A77" s="8" t="n">
        <x:v>72</x:v>
      </x:c>
      <x:c r="B77" s="8" t="str">
        <x:v>num_pkts_256_to_512_bytes_ratio</x:v>
      </x:c>
      <x:c r="C77" s="8" t="str">
        <x:v>Packet-size bins</x:v>
      </x:c>
      <x:c r="D77" s="21" t="str">
        <x:v>Sum of this exported packet-size bin / sum of all five exported bins; zero denominator gives zero.</x:v>
      </x:c>
      <x:c r="E77" s="22" t="str">
        <x:v>no</x:v>
      </x:c>
      <x:c r="F77" s="20" t="n">
        <x:v>0.03297468528235577</x:v>
      </x:c>
      <x:c r="G77" s="20" t="n">
        <x:v>0.07461883698791441</x:v>
      </x:c>
      <x:c r="H77" s="22" t="str">
        <x:v>no</x:v>
      </x:c>
    </x:row>
    <x:row r="78" ht="43" customHeight="1">
      <x:c r="A78" s="8" t="n">
        <x:v>73</x:v>
      </x:c>
      <x:c r="B78" s="8" t="str">
        <x:v>num_pkts_512_to_1024_bytes_ratio</x:v>
      </x:c>
      <x:c r="C78" s="8" t="str">
        <x:v>Packet-size bins</x:v>
      </x:c>
      <x:c r="D78" s="21" t="str">
        <x:v>Sum of this exported packet-size bin / sum of all five exported bins; zero denominator gives zero.</x:v>
      </x:c>
      <x:c r="E78" s="22" t="str">
        <x:v>no</x:v>
      </x:c>
      <x:c r="F78" s="20" t="n">
        <x:v>0.022249296558811662</x:v>
      </x:c>
      <x:c r="G78" s="20" t="n">
        <x:v>0.046815856955580215</x:v>
      </x:c>
      <x:c r="H78" s="22" t="str">
        <x:v>no</x:v>
      </x:c>
    </x:row>
    <x:row r="79" ht="43" customHeight="1">
      <x:c r="A79" s="8" t="n">
        <x:v>74</x:v>
      </x:c>
      <x:c r="B79" s="8" t="str">
        <x:v>num_pkts_1024_to_1514_bytes_ratio</x:v>
      </x:c>
      <x:c r="C79" s="8" t="str">
        <x:v>Packet-size bins</x:v>
      </x:c>
      <x:c r="D79" s="21" t="str">
        <x:v>Sum of this exported packet-size bin / sum of all five exported bins; zero denominator gives zero.</x:v>
      </x:c>
      <x:c r="E79" s="22" t="str">
        <x:v>no</x:v>
      </x:c>
      <x:c r="F79" s="20" t="n">
        <x:v>0.02376735375469021</x:v>
      </x:c>
      <x:c r="G79" s="20" t="n">
        <x:v>0.056085035022959084</x:v>
      </x:c>
      <x:c r="H79" s="22" t="str">
        <x:v>no</x:v>
      </x:c>
    </x:row>
    <x:row r="80" ht="43" customHeight="1">
      <x:c r="A80" s="8" t="n">
        <x:v>75</x:v>
      </x:c>
      <x:c r="B80" s="8" t="str">
        <x:v>tcp_win_max_in_mean</x:v>
      </x:c>
      <x:c r="C80" s="8" t="str">
        <x:v>TCP window</x:v>
      </x:c>
      <x:c r="D80" s="21" t="str">
        <x:v>Mean/max of the exported per-flow window field over TCP flows only; bytes.</x:v>
      </x:c>
      <x:c r="E80" s="22" t="str">
        <x:v>yes</x:v>
      </x:c>
      <x:c r="F80" s="20" t="n">
        <x:v>7.2732726902043625</x:v>
      </x:c>
      <x:c r="G80" s="20" t="n">
        <x:v>3.5480653104424316</x:v>
      </x:c>
      <x:c r="H80" s="22" t="str">
        <x:v>no</x:v>
      </x:c>
    </x:row>
    <x:row r="81" ht="43" customHeight="1">
      <x:c r="A81" s="8" t="n">
        <x:v>76</x:v>
      </x:c>
      <x:c r="B81" s="8" t="str">
        <x:v>tcp_win_max_in_max</x:v>
      </x:c>
      <x:c r="C81" s="8" t="str">
        <x:v>TCP window</x:v>
      </x:c>
      <x:c r="D81" s="21" t="str">
        <x:v>Mean/max of the exported per-flow window field over TCP flows only; bytes.</x:v>
      </x:c>
      <x:c r="E81" s="22" t="str">
        <x:v>yes</x:v>
      </x:c>
      <x:c r="F81" s="20" t="n">
        <x:v>7.3378589779892405</x:v>
      </x:c>
      <x:c r="G81" s="20" t="n">
        <x:v>3.5801187011899582</x:v>
      </x:c>
      <x:c r="H81" s="22" t="str">
        <x:v>no</x:v>
      </x:c>
    </x:row>
    <x:row r="82" ht="43" customHeight="1">
      <x:c r="A82" s="8" t="n">
        <x:v>77</x:v>
      </x:c>
      <x:c r="B82" s="8" t="str">
        <x:v>tcp_win_max_out_mean</x:v>
      </x:c>
      <x:c r="C82" s="8" t="str">
        <x:v>TCP window</x:v>
      </x:c>
      <x:c r="D82" s="21" t="str">
        <x:v>Mean/max of the exported per-flow window field over TCP flows only; bytes.</x:v>
      </x:c>
      <x:c r="E82" s="22" t="str">
        <x:v>yes</x:v>
      </x:c>
      <x:c r="F82" s="20" t="n">
        <x:v>6.547492657769974</x:v>
      </x:c>
      <x:c r="G82" s="20" t="n">
        <x:v>4.7898312012919995</x:v>
      </x:c>
      <x:c r="H82" s="22" t="str">
        <x:v>no</x:v>
      </x:c>
    </x:row>
    <x:row r="83" ht="43" customHeight="1">
      <x:c r="A83" s="8" t="n">
        <x:v>78</x:v>
      </x:c>
      <x:c r="B83" s="8" t="str">
        <x:v>tcp_win_max_out_max</x:v>
      </x:c>
      <x:c r="C83" s="8" t="str">
        <x:v>TCP window</x:v>
      </x:c>
      <x:c r="D83" s="21" t="str">
        <x:v>Mean/max of the exported per-flow window field over TCP flows only; bytes.</x:v>
      </x:c>
      <x:c r="E83" s="22" t="str">
        <x:v>yes</x:v>
      </x:c>
      <x:c r="F83" s="20" t="n">
        <x:v>6.607686190912946</x:v>
      </x:c>
      <x:c r="G83" s="20" t="n">
        <x:v>4.819550636745604</x:v>
      </x:c>
      <x:c r="H83" s="22" t="str">
        <x:v>no</x:v>
      </x:c>
    </x:row>
    <x:row r="84" ht="43" customHeight="1">
      <x:c r="A84" s="8" t="n">
        <x:v>79</x:v>
      </x:c>
      <x:c r="B84" s="8" t="str">
        <x:v>flow_start_gap_mean_ms</x:v>
      </x:c>
      <x:c r="C84" s="8" t="str">
        <x:v>Start timing</x:v>
      </x:c>
      <x:c r="D84" s="21" t="str">
        <x:v>Mean/max adjacent sorted flow-start gap or last-first span in milliseconds; &lt;2 starts gives zero.</x:v>
      </x:c>
      <x:c r="E84" s="22" t="str">
        <x:v>yes</x:v>
      </x:c>
      <x:c r="F84" s="20" t="n">
        <x:v>3.5648977018939383</x:v>
      </x:c>
      <x:c r="G84" s="20" t="n">
        <x:v>3.543458870910876</x:v>
      </x:c>
      <x:c r="H84" s="22" t="str">
        <x:v>no</x:v>
      </x:c>
    </x:row>
    <x:row r="85" ht="43" customHeight="1">
      <x:c r="A85" s="8" t="n">
        <x:v>80</x:v>
      </x:c>
      <x:c r="B85" s="8" t="str">
        <x:v>flow_start_gap_max_ms</x:v>
      </x:c>
      <x:c r="C85" s="8" t="str">
        <x:v>Start timing</x:v>
      </x:c>
      <x:c r="D85" s="21" t="str">
        <x:v>Mean/max adjacent sorted flow-start gap or last-first span in milliseconds; &lt;2 starts gives zero.</x:v>
      </x:c>
      <x:c r="E85" s="22" t="str">
        <x:v>yes</x:v>
      </x:c>
      <x:c r="F85" s="20" t="n">
        <x:v>3.8720092295953767</x:v>
      </x:c>
      <x:c r="G85" s="20" t="n">
        <x:v>3.791185471757007</x:v>
      </x:c>
      <x:c r="H85" s="22" t="str">
        <x:v>no</x:v>
      </x:c>
    </x:row>
    <x:row r="86" ht="43" customHeight="1">
      <x:c r="A86" s="8" t="n">
        <x:v>81</x:v>
      </x:c>
      <x:c r="B86" s="8" t="str">
        <x:v>flow_start_span_ms</x:v>
      </x:c>
      <x:c r="C86" s="8" t="str">
        <x:v>Start timing</x:v>
      </x:c>
      <x:c r="D86" s="21" t="str">
        <x:v>Mean/max adjacent sorted flow-start gap or last-first span in milliseconds; &lt;2 starts gives zero.</x:v>
      </x:c>
      <x:c r="E86" s="22" t="str">
        <x:v>yes</x:v>
      </x:c>
      <x:c r="F86" s="20" t="n">
        <x:v>4.078903672169659</x:v>
      </x:c>
      <x:c r="G86" s="20" t="n">
        <x:v>4.001862373084966</x:v>
      </x:c>
      <x:c r="H86" s="22" t="str">
        <x:v>no</x:v>
      </x:c>
    </x:row>
    <x:row r="87" ht="43" customHeight="1">
      <x:c r="A87" s="8" t="n">
        <x:v>82</x:v>
      </x:c>
      <x:c r="B87" s="8" t="str">
        <x:v>l7_code_0_ratio</x:v>
      </x:c>
      <x:c r="C87" s="8" t="str">
        <x:v>L7 ratios</x:v>
      </x:c>
      <x:c r="D87" s="21" t="str">
        <x:v>Category flow count / all bucket flow starts; UNK contains training-unseen codes.</x:v>
      </x:c>
      <x:c r="E87" s="22" t="str">
        <x:v>no</x:v>
      </x:c>
      <x:c r="F87" s="20" t="n">
        <x:v>0.08875008584369781</x:v>
      </x:c>
      <x:c r="G87" s="20" t="n">
        <x:v>0.2835788115659584</x:v>
      </x:c>
      <x:c r="H87" s="22" t="str">
        <x:v>no</x:v>
      </x:c>
    </x:row>
    <x:row r="88" ht="43" customHeight="1">
      <x:c r="A88" s="8" t="n">
        <x:v>83</x:v>
      </x:c>
      <x:c r="B88" s="8" t="str">
        <x:v>l7_code_1_ratio</x:v>
      </x:c>
      <x:c r="C88" s="8" t="str">
        <x:v>L7 ratios</x:v>
      </x:c>
      <x:c r="D88" s="21" t="str">
        <x:v>Category flow count / all bucket flow starts; UNK contains training-unseen codes.</x:v>
      </x:c>
      <x:c r="E88" s="22" t="str">
        <x:v>no</x:v>
      </x:c>
      <x:c r="F88" s="20" t="n">
        <x:v>0.0008641037950654709</x:v>
      </x:c>
      <x:c r="G88" s="20" t="n">
        <x:v>0.029352456588720974</x:v>
      </x:c>
      <x:c r="H88" s="22" t="str">
        <x:v>no</x:v>
      </x:c>
    </x:row>
    <x:row r="89" ht="43" customHeight="1">
      <x:c r="A89" s="8" t="n">
        <x:v>84</x:v>
      </x:c>
      <x:c r="B89" s="8" t="str">
        <x:v>l7_code_2_ratio</x:v>
      </x:c>
      <x:c r="C89" s="8" t="str">
        <x:v>L7 ratios</x:v>
      </x:c>
      <x:c r="D89" s="21" t="str">
        <x:v>Category flow count / all bucket flow starts; UNK contains training-unseen codes.</x:v>
      </x:c>
      <x:c r="E89" s="22" t="str">
        <x:v>no</x:v>
      </x:c>
      <x:c r="F89" s="20" t="n">
        <x:v>0.00031013576394199415</x:v>
      </x:c>
      <x:c r="G89" s="20" t="n">
        <x:v>0.017532044118249223</x:v>
      </x:c>
      <x:c r="H89" s="22" t="str">
        <x:v>no</x:v>
      </x:c>
    </x:row>
    <x:row r="90" ht="43" customHeight="1">
      <x:c r="A90" s="8" t="n">
        <x:v>85</x:v>
      </x:c>
      <x:c r="B90" s="8" t="str">
        <x:v>l7_code_3_ratio</x:v>
      </x:c>
      <x:c r="C90" s="8" t="str">
        <x:v>L7 ratios</x:v>
      </x:c>
      <x:c r="D90" s="21" t="str">
        <x:v>Category flow count / all bucket flow starts; UNK contains training-unseen codes.</x:v>
      </x:c>
      <x:c r="E90" s="22" t="str">
        <x:v>no</x:v>
      </x:c>
      <x:c r="F90" s="20" t="n">
        <x:v>0.00033527009655831173</x:v>
      </x:c>
      <x:c r="G90" s="20" t="n">
        <x:v>0.018258116660625583</x:v>
      </x:c>
      <x:c r="H90" s="22" t="str">
        <x:v>no</x:v>
      </x:c>
    </x:row>
    <x:row r="91" ht="43" customHeight="1">
      <x:c r="A91" s="8" t="n">
        <x:v>86</x:v>
      </x:c>
      <x:c r="B91" s="8" t="str">
        <x:v>l7_code_4_ratio</x:v>
      </x:c>
      <x:c r="C91" s="8" t="str">
        <x:v>L7 ratios</x:v>
      </x:c>
      <x:c r="D91" s="21" t="str">
        <x:v>Category flow count / all bucket flow starts; UNK contains training-unseen codes.</x:v>
      </x:c>
      <x:c r="E91" s="22" t="str">
        <x:v>no</x:v>
      </x:c>
      <x:c r="F91" s="20" t="n">
        <x:v>0.00015453796801891332</x:v>
      </x:c>
      <x:c r="G91" s="20" t="n">
        <x:v>0.01241277271047381</x:v>
      </x:c>
      <x:c r="H91" s="22" t="str">
        <x:v>no</x:v>
      </x:c>
    </x:row>
    <x:row r="92" ht="43" customHeight="1">
      <x:c r="A92" s="8" t="n">
        <x:v>87</x:v>
      </x:c>
      <x:c r="B92" s="8" t="str">
        <x:v>l7_code_5_ratio</x:v>
      </x:c>
      <x:c r="C92" s="8" t="str">
        <x:v>L7 ratios</x:v>
      </x:c>
      <x:c r="D92" s="21" t="str">
        <x:v>Category flow count / all bucket flow starts; UNK contains training-unseen codes.</x:v>
      </x:c>
      <x:c r="E92" s="22" t="str">
        <x:v>no</x:v>
      </x:c>
      <x:c r="F92" s="20" t="n">
        <x:v>0.1156048397645847</x:v>
      </x:c>
      <x:c r="G92" s="20" t="n">
        <x:v>0.2873321957071948</x:v>
      </x:c>
      <x:c r="H92" s="22" t="str">
        <x:v>no</x:v>
      </x:c>
    </x:row>
    <x:row r="93" ht="43" customHeight="1">
      <x:c r="A93" s="8" t="n">
        <x:v>88</x:v>
      </x:c>
      <x:c r="B93" s="8" t="str">
        <x:v>l7_code_7_ratio</x:v>
      </x:c>
      <x:c r="C93" s="8" t="str">
        <x:v>L7 ratios</x:v>
      </x:c>
      <x:c r="D93" s="21" t="str">
        <x:v>Category flow count / all bucket flow starts; UNK contains training-unseen codes.</x:v>
      </x:c>
      <x:c r="E93" s="22" t="str">
        <x:v>no</x:v>
      </x:c>
      <x:c r="F93" s="20" t="n">
        <x:v>0.09560867045546317</x:v>
      </x:c>
      <x:c r="G93" s="20" t="n">
        <x:v>0.2780344623960481</x:v>
      </x:c>
      <x:c r="H93" s="22" t="str">
        <x:v>no</x:v>
      </x:c>
    </x:row>
    <x:row r="94" ht="43" customHeight="1">
      <x:c r="A94" s="8" t="n">
        <x:v>89</x:v>
      </x:c>
      <x:c r="B94" s="8" t="str">
        <x:v>l7_code_8_ratio</x:v>
      </x:c>
      <x:c r="C94" s="8" t="str">
        <x:v>L7 ratios</x:v>
      </x:c>
      <x:c r="D94" s="21" t="str">
        <x:v>Category flow count / all bucket flow starts; UNK contains training-unseen codes.</x:v>
      </x:c>
      <x:c r="E94" s="22" t="str">
        <x:v>no</x:v>
      </x:c>
      <x:c r="F94" s="20" t="n">
        <x:v>0.00005151032551419113</x:v>
      </x:c>
      <x:c r="G94" s="20" t="n">
        <x:v>0.00715749782166951</x:v>
      </x:c>
      <x:c r="H94" s="22" t="str">
        <x:v>no</x:v>
      </x:c>
    </x:row>
    <x:row r="95" ht="43" customHeight="1">
      <x:c r="A95" s="8" t="n">
        <x:v>90</x:v>
      </x:c>
      <x:c r="B95" s="8" t="str">
        <x:v>l7_code_9_ratio</x:v>
      </x:c>
      <x:c r="C95" s="8" t="str">
        <x:v>L7 ratios</x:v>
      </x:c>
      <x:c r="D95" s="21" t="str">
        <x:v>Category flow count / all bucket flow starts; UNK contains training-unseen codes.</x:v>
      </x:c>
      <x:c r="E95" s="22" t="str">
        <x:v>no</x:v>
      </x:c>
      <x:c r="F95" s="20" t="n">
        <x:v>0.006957702804860045</x:v>
      </x:c>
      <x:c r="G95" s="20" t="n">
        <x:v>0.0792936236954705</x:v>
      </x:c>
      <x:c r="H95" s="22" t="str">
        <x:v>no</x:v>
      </x:c>
    </x:row>
    <x:row r="96" ht="43" customHeight="1">
      <x:c r="A96" s="8" t="n">
        <x:v>91</x:v>
      </x:c>
      <x:c r="B96" s="8" t="str">
        <x:v>l7_code_10_ratio</x:v>
      </x:c>
      <x:c r="C96" s="8" t="str">
        <x:v>L7 ratios</x:v>
      </x:c>
      <x:c r="D96" s="21" t="str">
        <x:v>Category flow count / all bucket flow starts; UNK contains training-unseen codes.</x:v>
      </x:c>
      <x:c r="E96" s="22" t="str">
        <x:v>no</x:v>
      </x:c>
      <x:c r="F96" s="20" t="n">
        <x:v>0.09400445519447206</x:v>
      </x:c>
      <x:c r="G96" s="20" t="n">
        <x:v>0.2563429500485696</x:v>
      </x:c>
      <x:c r="H96" s="22" t="str">
        <x:v>no</x:v>
      </x:c>
    </x:row>
    <x:row r="97" ht="43" customHeight="1">
      <x:c r="A97" s="8" t="n">
        <x:v>92</x:v>
      </x:c>
      <x:c r="B97" s="8" t="str">
        <x:v>l7_code_11_ratio</x:v>
      </x:c>
      <x:c r="C97" s="8" t="str">
        <x:v>L7 ratios</x:v>
      </x:c>
      <x:c r="D97" s="21" t="str">
        <x:v>Category flow count / all bucket flow starts; UNK contains training-unseen codes.</x:v>
      </x:c>
      <x:c r="E97" s="22" t="str">
        <x:v>no</x:v>
      </x:c>
      <x:c r="F97" s="20" t="n">
        <x:v>0.00006956225226263955</x:v>
      </x:c>
      <x:c r="G97" s="20" t="n">
        <x:v>0.008183538327368017</x:v>
      </x:c>
      <x:c r="H97" s="22" t="str">
        <x:v>no</x:v>
      </x:c>
    </x:row>
    <x:row r="98" ht="43" customHeight="1">
      <x:c r="A98" s="8" t="n">
        <x:v>93</x:v>
      </x:c>
      <x:c r="B98" s="8" t="str">
        <x:v>l7_code_12_ratio</x:v>
      </x:c>
      <x:c r="C98" s="8" t="str">
        <x:v>L7 ratios</x:v>
      </x:c>
      <x:c r="D98" s="21" t="str">
        <x:v>Category flow count / all bucket flow starts; UNK contains training-unseen codes.</x:v>
      </x:c>
      <x:c r="E98" s="22" t="str">
        <x:v>no</x:v>
      </x:c>
      <x:c r="F98" s="20" t="n">
        <x:v>0.0008202738092556412</x:v>
      </x:c>
      <x:c r="G98" s="20" t="n">
        <x:v>0.026975126394898297</x:v>
      </x:c>
      <x:c r="H98" s="22" t="str">
        <x:v>no</x:v>
      </x:c>
    </x:row>
    <x:row r="99" ht="43" customHeight="1">
      <x:c r="A99" s="8" t="n">
        <x:v>94</x:v>
      </x:c>
      <x:c r="B99" s="8" t="str">
        <x:v>l7_code_13_ratio</x:v>
      </x:c>
      <x:c r="C99" s="8" t="str">
        <x:v>L7 ratios</x:v>
      </x:c>
      <x:c r="D99" s="21" t="str">
        <x:v>Category flow count / all bucket flow starts; UNK contains training-unseen codes.</x:v>
      </x:c>
      <x:c r="E99" s="22" t="str">
        <x:v>no</x:v>
      </x:c>
      <x:c r="F99" s="20" t="n">
        <x:v>0.00004272893592549698</x:v>
      </x:c>
      <x:c r="G99" s="20" t="n">
        <x:v>0.006408783202598862</x:v>
      </x:c>
      <x:c r="H99" s="22" t="str">
        <x:v>no</x:v>
      </x:c>
    </x:row>
    <x:row r="100" ht="43" customHeight="1">
      <x:c r="A100" s="8" t="n">
        <x:v>95</x:v>
      </x:c>
      <x:c r="B100" s="8" t="str">
        <x:v>l7_code_14_ratio</x:v>
      </x:c>
      <x:c r="C100" s="8" t="str">
        <x:v>L7 ratios</x:v>
      </x:c>
      <x:c r="D100" s="21" t="str">
        <x:v>Category flow count / all bucket flow starts; UNK contains training-unseen codes.</x:v>
      </x:c>
      <x:c r="E100" s="22" t="str">
        <x:v>no</x:v>
      </x:c>
      <x:c r="F100" s="20" t="n">
        <x:v>0.0004048904157323083</x:v>
      </x:c>
      <x:c r="G100" s="20" t="n">
        <x:v>0.02010053174581374</x:v>
      </x:c>
      <x:c r="H100" s="22" t="str">
        <x:v>no</x:v>
      </x:c>
    </x:row>
    <x:row r="101" ht="43" customHeight="1">
      <x:c r="A101" s="8" t="n">
        <x:v>96</x:v>
      </x:c>
      <x:c r="B101" s="8" t="str">
        <x:v>l7_code_15_ratio</x:v>
      </x:c>
      <x:c r="C101" s="8" t="str">
        <x:v>L7 ratios</x:v>
      </x:c>
      <x:c r="D101" s="21" t="str">
        <x:v>Category flow count / all bucket flow starts; UNK contains training-unseen codes.</x:v>
      </x:c>
      <x:c r="E101" s="22" t="str">
        <x:v>no</x:v>
      </x:c>
      <x:c r="F101" s="20" t="n">
        <x:v>0.0000027236689727632093</x:v>
      </x:c>
      <x:c r="G101" s="20" t="n">
        <x:v>0.0013579924331903958</x:v>
      </x:c>
      <x:c r="H101" s="22" t="str">
        <x:v>no</x:v>
      </x:c>
    </x:row>
    <x:row r="102" ht="43" customHeight="1">
      <x:c r="A102" s="8" t="n">
        <x:v>97</x:v>
      </x:c>
      <x:c r="B102" s="8" t="str">
        <x:v>l7_code_17_ratio</x:v>
      </x:c>
      <x:c r="C102" s="8" t="str">
        <x:v>L7 ratios</x:v>
      </x:c>
      <x:c r="D102" s="21" t="str">
        <x:v>Category flow count / all bucket flow starts; UNK contains training-unseen codes.</x:v>
      </x:c>
      <x:c r="E102" s="22" t="str">
        <x:v>no</x:v>
      </x:c>
      <x:c r="F102" s="20" t="n">
        <x:v>0.0000444487593686845</x:v>
      </x:c>
      <x:c r="G102" s="20" t="n">
        <x:v>0.006641521744643079</x:v>
      </x:c>
      <x:c r="H102" s="22" t="str">
        <x:v>no</x:v>
      </x:c>
    </x:row>
    <x:row r="103" ht="43" customHeight="1">
      <x:c r="A103" s="8" t="n">
        <x:v>98</x:v>
      </x:c>
      <x:c r="B103" s="8" t="str">
        <x:v>l7_code_18_ratio</x:v>
      </x:c>
      <x:c r="C103" s="8" t="str">
        <x:v>L7 ratios</x:v>
      </x:c>
      <x:c r="D103" s="21" t="str">
        <x:v>Category flow count / all bucket flow starts; UNK contains training-unseen codes.</x:v>
      </x:c>
      <x:c r="E103" s="22" t="str">
        <x:v>no</x:v>
      </x:c>
      <x:c r="F103" s="20" t="n">
        <x:v>0.001570046739068122</x:v>
      </x:c>
      <x:c r="G103" s="20" t="n">
        <x:v>0.0277461759030634</x:v>
      </x:c>
      <x:c r="H103" s="22" t="str">
        <x:v>no</x:v>
      </x:c>
    </x:row>
    <x:row r="104" ht="43" customHeight="1">
      <x:c r="A104" s="8" t="n">
        <x:v>99</x:v>
      </x:c>
      <x:c r="B104" s="8" t="str">
        <x:v>l7_code_19_ratio</x:v>
      </x:c>
      <x:c r="C104" s="8" t="str">
        <x:v>L7 ratios</x:v>
      </x:c>
      <x:c r="D104" s="21" t="str">
        <x:v>Category flow count / all bucket flow starts; UNK contains training-unseen codes.</x:v>
      </x:c>
      <x:c r="E104" s="22" t="str">
        <x:v>no</x:v>
      </x:c>
      <x:c r="F104" s="20" t="n">
        <x:v>0.0002083928736146191</x:v>
      </x:c>
      <x:c r="G104" s="20" t="n">
        <x:v>0.014373737306630458</x:v>
      </x:c>
      <x:c r="H104" s="22" t="str">
        <x:v>no</x:v>
      </x:c>
    </x:row>
    <x:row r="105" ht="43" customHeight="1">
      <x:c r="A105" s="8" t="n">
        <x:v>100</x:v>
      </x:c>
      <x:c r="B105" s="8" t="str">
        <x:v>l7_code_20_ratio</x:v>
      </x:c>
      <x:c r="C105" s="8" t="str">
        <x:v>L7 ratios</x:v>
      </x:c>
      <x:c r="D105" s="21" t="str">
        <x:v>Category flow count / all bucket flow starts; UNK contains training-unseen codes.</x:v>
      </x:c>
      <x:c r="E105" s="22" t="str">
        <x:v>no</x:v>
      </x:c>
      <x:c r="F105" s="20" t="n">
        <x:v>0.000669553140820722</x:v>
      </x:c>
      <x:c r="G105" s="20" t="n">
        <x:v>0.02577844903791025</x:v>
      </x:c>
      <x:c r="H105" s="22" t="str">
        <x:v>no</x:v>
      </x:c>
    </x:row>
    <x:row r="106" ht="43" customHeight="1">
      <x:c r="A106" s="8" t="n">
        <x:v>101</x:v>
      </x:c>
      <x:c r="B106" s="8" t="str">
        <x:v>l7_code_23_ratio</x:v>
      </x:c>
      <x:c r="C106" s="8" t="str">
        <x:v>L7 ratios</x:v>
      </x:c>
      <x:c r="D106" s="21" t="str">
        <x:v>Category flow count / all bucket flow starts; UNK contains training-unseen codes.</x:v>
      </x:c>
      <x:c r="E106" s="22" t="str">
        <x:v>no</x:v>
      </x:c>
      <x:c r="F106" s="20" t="n">
        <x:v>0.00019367587765692308</x:v>
      </x:c>
      <x:c r="G106" s="20" t="n">
        <x:v>0.013892694113505346</x:v>
      </x:c>
      <x:c r="H106" s="22" t="str">
        <x:v>no</x:v>
      </x:c>
    </x:row>
    <x:row r="107" ht="43" customHeight="1">
      <x:c r="A107" s="8" t="n">
        <x:v>102</x:v>
      </x:c>
      <x:c r="B107" s="8" t="str">
        <x:v>l7_code_25_ratio</x:v>
      </x:c>
      <x:c r="C107" s="8" t="str">
        <x:v>L7 ratios</x:v>
      </x:c>
      <x:c r="D107" s="21" t="str">
        <x:v>Category flow count / all bucket flow starts; UNK contains training-unseen codes.</x:v>
      </x:c>
      <x:c r="E107" s="22" t="str">
        <x:v>no</x:v>
      </x:c>
      <x:c r="F107" s="20" t="n">
        <x:v>0.000006128255188717145</x:v>
      </x:c>
      <x:c r="G107" s="20" t="n">
        <x:v>0.002475523708875645</x:v>
      </x:c>
      <x:c r="H107" s="22" t="str">
        <x:v>no</x:v>
      </x:c>
    </x:row>
    <x:row r="108" ht="43" customHeight="1">
      <x:c r="A108" s="8" t="n">
        <x:v>103</x:v>
      </x:c>
      <x:c r="B108" s="8" t="str">
        <x:v>l7_code_27_ratio</x:v>
      </x:c>
      <x:c r="C108" s="8" t="str">
        <x:v>L7 ratios</x:v>
      </x:c>
      <x:c r="D108" s="21" t="str">
        <x:v>Category flow count / all bucket flow starts; UNK contains training-unseen codes.</x:v>
      </x:c>
      <x:c r="E108" s="22" t="str">
        <x:v>no</x:v>
      </x:c>
      <x:c r="F108" s="20" t="n">
        <x:v>0.00001429965016774557</x:v>
      </x:c>
      <x:c r="G108" s="20" t="n">
        <x:v>0.003781409515232456</x:v>
      </x:c>
      <x:c r="H108" s="22" t="str">
        <x:v>no</x:v>
      </x:c>
    </x:row>
    <x:row r="109" ht="43" customHeight="1">
      <x:c r="A109" s="8" t="n">
        <x:v>104</x:v>
      </x:c>
      <x:c r="B109" s="8" t="str">
        <x:v>l7_code_28_ratio</x:v>
      </x:c>
      <x:c r="C109" s="8" t="str">
        <x:v>L7 ratios</x:v>
      </x:c>
      <x:c r="D109" s="21" t="str">
        <x:v>Category flow count / all bucket flow starts; UNK contains training-unseen codes.</x:v>
      </x:c>
      <x:c r="E109" s="22" t="str">
        <x:v>no</x:v>
      </x:c>
      <x:c r="F109" s="20" t="n">
        <x:v>2.9151974000704966e-7</x:v>
      </x:c>
      <x:c r="G109" s="20" t="n">
        <x:v>0.00035748866669781213</x:v>
      </x:c>
      <x:c r="H109" s="22" t="str">
        <x:v>no</x:v>
      </x:c>
    </x:row>
    <x:row r="110" ht="43" customHeight="1">
      <x:c r="A110" s="8" t="n">
        <x:v>105</x:v>
      </x:c>
      <x:c r="B110" s="8" t="str">
        <x:v>l7_code_29_ratio</x:v>
      </x:c>
      <x:c r="C110" s="8" t="str">
        <x:v>L7 ratios</x:v>
      </x:c>
      <x:c r="D110" s="21" t="str">
        <x:v>Category flow count / all bucket flow starts; UNK contains training-unseen codes.</x:v>
      </x:c>
      <x:c r="E110" s="22" t="str">
        <x:v>no</x:v>
      </x:c>
      <x:c r="F110" s="20" t="n">
        <x:v>0.00011468921112344342</x:v>
      </x:c>
      <x:c r="G110" s="20" t="n">
        <x:v>0.010688937872512088</x:v>
      </x:c>
      <x:c r="H110" s="22" t="str">
        <x:v>no</x:v>
      </x:c>
    </x:row>
    <x:row r="111" ht="43" customHeight="1">
      <x:c r="A111" s="8" t="n">
        <x:v>106</x:v>
      </x:c>
      <x:c r="B111" s="8" t="str">
        <x:v>l7_code_31_ratio</x:v>
      </x:c>
      <x:c r="C111" s="8" t="str">
        <x:v>L7 ratios</x:v>
      </x:c>
      <x:c r="D111" s="21" t="str">
        <x:v>Category flow count / all bucket flow starts; UNK contains training-unseen codes.</x:v>
      </x:c>
      <x:c r="E111" s="22" t="str">
        <x:v>no</x:v>
      </x:c>
      <x:c r="F111" s="20" t="n">
        <x:v>0.000010469102614058361</x:v>
      </x:c>
      <x:c r="G111" s="20" t="n">
        <x:v>0.003215792441817469</x:v>
      </x:c>
      <x:c r="H111" s="22" t="str">
        <x:v>no</x:v>
      </x:c>
    </x:row>
    <x:row r="112" ht="43" customHeight="1">
      <x:c r="A112" s="8" t="n">
        <x:v>107</x:v>
      </x:c>
      <x:c r="B112" s="8" t="str">
        <x:v>l7_code_37_ratio</x:v>
      </x:c>
      <x:c r="C112" s="8" t="str">
        <x:v>L7 ratios</x:v>
      </x:c>
      <x:c r="D112" s="21" t="str">
        <x:v>Category flow count / all bucket flow starts; UNK contains training-unseen codes.</x:v>
      </x:c>
      <x:c r="E112" s="22" t="str">
        <x:v>no</x:v>
      </x:c>
      <x:c r="F112" s="20" t="n">
        <x:v>0.00036077679419355444</x:v>
      </x:c>
      <x:c r="G112" s="20" t="n">
        <x:v>0.018936888830801486</x:v>
      </x:c>
      <x:c r="H112" s="22" t="str">
        <x:v>no</x:v>
      </x:c>
    </x:row>
    <x:row r="113" ht="43" customHeight="1">
      <x:c r="A113" s="8" t="n">
        <x:v>108</x:v>
      </x:c>
      <x:c r="B113" s="8" t="str">
        <x:v>l7_code_40_ratio</x:v>
      </x:c>
      <x:c r="C113" s="8" t="str">
        <x:v>L7 ratios</x:v>
      </x:c>
      <x:c r="D113" s="21" t="str">
        <x:v>Category flow count / all bucket flow starts; UNK contains training-unseen codes.</x:v>
      </x:c>
      <x:c r="E113" s="22" t="str">
        <x:v>no</x:v>
      </x:c>
      <x:c r="F113" s="20" t="n">
        <x:v>0.0008079083090458647</x:v>
      </x:c>
      <x:c r="G113" s="20" t="n">
        <x:v>0.028392764970848697</x:v>
      </x:c>
      <x:c r="H113" s="22" t="str">
        <x:v>no</x:v>
      </x:c>
    </x:row>
    <x:row r="114" ht="43" customHeight="1">
      <x:c r="A114" s="8" t="n">
        <x:v>109</x:v>
      </x:c>
      <x:c r="B114" s="8" t="str">
        <x:v>l7_code_41_ratio</x:v>
      </x:c>
      <x:c r="C114" s="8" t="str">
        <x:v>L7 ratios</x:v>
      </x:c>
      <x:c r="D114" s="21" t="str">
        <x:v>Category flow count / all bucket flow starts; UNK contains training-unseen codes.</x:v>
      </x:c>
      <x:c r="E114" s="22" t="str">
        <x:v>no</x:v>
      </x:c>
      <x:c r="F114" s="20" t="n">
        <x:v>0.07726751722260271</x:v>
      </x:c>
      <x:c r="G114" s="20" t="n">
        <x:v>0.23068179115469267</x:v>
      </x:c>
      <x:c r="H114" s="22" t="str">
        <x:v>no</x:v>
      </x:c>
    </x:row>
    <x:row r="115" ht="43" customHeight="1">
      <x:c r="A115" s="8" t="n">
        <x:v>110</x:v>
      </x:c>
      <x:c r="B115" s="8" t="str">
        <x:v>l7_code_43_ratio</x:v>
      </x:c>
      <x:c r="C115" s="8" t="str">
        <x:v>L7 ratios</x:v>
      </x:c>
      <x:c r="D115" s="21" t="str">
        <x:v>Category flow count / all bucket flow starts; UNK contains training-unseen codes.</x:v>
      </x:c>
      <x:c r="E115" s="22" t="str">
        <x:v>no</x:v>
      </x:c>
      <x:c r="F115" s="20" t="n">
        <x:v>5.163622427530079e-7</x:v>
      </x:c>
      <x:c r="G115" s="20" t="n">
        <x:v>0.00034363998130211327</x:v>
      </x:c>
      <x:c r="H115" s="22" t="str">
        <x:v>no</x:v>
      </x:c>
    </x:row>
    <x:row r="116" ht="43" customHeight="1">
      <x:c r="A116" s="8" t="n">
        <x:v>111</x:v>
      </x:c>
      <x:c r="B116" s="8" t="str">
        <x:v>l7_code_44_ratio</x:v>
      </x:c>
      <x:c r="C116" s="8" t="str">
        <x:v>L7 ratios</x:v>
      </x:c>
      <x:c r="D116" s="21" t="str">
        <x:v>Category flow count / all bucket flow starts; UNK contains training-unseen codes.</x:v>
      </x:c>
      <x:c r="E116" s="22" t="str">
        <x:v>no</x:v>
      </x:c>
      <x:c r="F116" s="20" t="n">
        <x:v>0.00005362223290127592</x:v>
      </x:c>
      <x:c r="G116" s="20" t="n">
        <x:v>0.00732252398817596</x:v>
      </x:c>
      <x:c r="H116" s="22" t="str">
        <x:v>no</x:v>
      </x:c>
    </x:row>
    <x:row r="117" ht="43" customHeight="1">
      <x:c r="A117" s="8" t="n">
        <x:v>112</x:v>
      </x:c>
      <x:c r="B117" s="8" t="str">
        <x:v>l7_code_50_ratio</x:v>
      </x:c>
      <x:c r="C117" s="8" t="str">
        <x:v>L7 ratios</x:v>
      </x:c>
      <x:c r="D117" s="21" t="str">
        <x:v>Category flow count / all bucket flow starts; UNK contains training-unseen codes.</x:v>
      </x:c>
      <x:c r="E117" s="22" t="str">
        <x:v>no</x:v>
      </x:c>
      <x:c r="F117" s="20" t="n">
        <x:v>0.0000487171045011913</x:v>
      </x:c>
      <x:c r="G117" s="20" t="n">
        <x:v>0.006966449522269465</x:v>
      </x:c>
      <x:c r="H117" s="22" t="str">
        <x:v>no</x:v>
      </x:c>
    </x:row>
    <x:row r="118" ht="43" customHeight="1">
      <x:c r="A118" s="8" t="n">
        <x:v>113</x:v>
      </x:c>
      <x:c r="B118" s="8" t="str">
        <x:v>l7_code_51_ratio</x:v>
      </x:c>
      <x:c r="C118" s="8" t="str">
        <x:v>L7 ratios</x:v>
      </x:c>
      <x:c r="D118" s="21" t="str">
        <x:v>Category flow count / all bucket flow starts; UNK contains training-unseen codes.</x:v>
      </x:c>
      <x:c r="E118" s="22" t="str">
        <x:v>no</x:v>
      </x:c>
      <x:c r="F118" s="20" t="n">
        <x:v>0.00012473601876264977</x:v>
      </x:c>
      <x:c r="G118" s="20" t="n">
        <x:v>0.011150861965648986</x:v>
      </x:c>
      <x:c r="H118" s="22" t="str">
        <x:v>no</x:v>
      </x:c>
    </x:row>
    <x:row r="119" ht="43" customHeight="1">
      <x:c r="A119" s="8" t="n">
        <x:v>114</x:v>
      </x:c>
      <x:c r="B119" s="8" t="str">
        <x:v>l7_code_53_ratio</x:v>
      </x:c>
      <x:c r="C119" s="8" t="str">
        <x:v>L7 ratios</x:v>
      </x:c>
      <x:c r="D119" s="21" t="str">
        <x:v>Category flow count / all bucket flow starts; UNK contains training-unseen codes.</x:v>
      </x:c>
      <x:c r="E119" s="22" t="str">
        <x:v>no</x:v>
      </x:c>
      <x:c r="F119" s="20" t="n">
        <x:v>1.9403036945026098e-10</x:v>
      </x:c>
      <x:c r="G119" s="20" t="n">
        <x:v>2.7151373369331035e-7</x:v>
      </x:c>
      <x:c r="H119" s="22" t="str">
        <x:v>no</x:v>
      </x:c>
    </x:row>
    <x:row r="120" ht="43" customHeight="1">
      <x:c r="A120" s="8" t="n">
        <x:v>115</x:v>
      </x:c>
      <x:c r="B120" s="8" t="str">
        <x:v>l7_code_58_ratio</x:v>
      </x:c>
      <x:c r="C120" s="8" t="str">
        <x:v>L7 ratios</x:v>
      </x:c>
      <x:c r="D120" s="21" t="str">
        <x:v>Category flow count / all bucket flow starts; UNK contains training-unseen codes.</x:v>
      </x:c>
      <x:c r="E120" s="22" t="str">
        <x:v>no</x:v>
      </x:c>
      <x:c r="F120" s="20" t="n">
        <x:v>0.0000010213758647861738</x:v>
      </x:c>
      <x:c r="G120" s="20" t="n">
        <x:v>0.001010630902742191</x:v>
      </x:c>
      <x:c r="H120" s="22" t="str">
        <x:v>no</x:v>
      </x:c>
    </x:row>
    <x:row r="121" ht="43" customHeight="1">
      <x:c r="A121" s="8" t="n">
        <x:v>116</x:v>
      </x:c>
      <x:c r="B121" s="8" t="str">
        <x:v>l7_code_60_ratio</x:v>
      </x:c>
      <x:c r="C121" s="8" t="str">
        <x:v>L7 ratios</x:v>
      </x:c>
      <x:c r="D121" s="21" t="str">
        <x:v>Category flow count / all bucket flow starts; UNK contains training-unseen codes.</x:v>
      </x:c>
      <x:c r="E121" s="22" t="str">
        <x:v>no</x:v>
      </x:c>
      <x:c r="F121" s="20" t="n">
        <x:v>0.00005829524855969758</x:v>
      </x:c>
      <x:c r="G121" s="20" t="n">
        <x:v>0.007535430948469512</x:v>
      </x:c>
      <x:c r="H121" s="22" t="str">
        <x:v>no</x:v>
      </x:c>
    </x:row>
    <x:row r="122" ht="43" customHeight="1">
      <x:c r="A122" s="8" t="n">
        <x:v>117</x:v>
      </x:c>
      <x:c r="B122" s="8" t="str">
        <x:v>l7_code_62_ratio</x:v>
      </x:c>
      <x:c r="C122" s="8" t="str">
        <x:v>L7 ratios</x:v>
      </x:c>
      <x:c r="D122" s="21" t="str">
        <x:v>Category flow count / all bucket flow starts; UNK contains training-unseen codes.</x:v>
      </x:c>
      <x:c r="E122" s="22" t="str">
        <x:v>no</x:v>
      </x:c>
      <x:c r="F122" s="20" t="n">
        <x:v>0.0000010213758647861685</x:v>
      </x:c>
      <x:c r="G122" s="20" t="n">
        <x:v>0.0010106309027421959</x:v>
      </x:c>
      <x:c r="H122" s="22" t="str">
        <x:v>no</x:v>
      </x:c>
    </x:row>
    <x:row r="123" ht="43" customHeight="1">
      <x:c r="A123" s="8" t="n">
        <x:v>118</x:v>
      </x:c>
      <x:c r="B123" s="8" t="str">
        <x:v>l7_code_64_ratio</x:v>
      </x:c>
      <x:c r="C123" s="8" t="str">
        <x:v>L7 ratios</x:v>
      </x:c>
      <x:c r="D123" s="21" t="str">
        <x:v>Category flow count / all bucket flow starts; UNK contains training-unseen codes.</x:v>
      </x:c>
      <x:c r="E123" s="22" t="str">
        <x:v>no</x:v>
      </x:c>
      <x:c r="F123" s="20" t="n">
        <x:v>1.9403036945026098e-10</x:v>
      </x:c>
      <x:c r="G123" s="20" t="n">
        <x:v>2.7151373369331035e-7</x:v>
      </x:c>
      <x:c r="H123" s="22" t="str">
        <x:v>no</x:v>
      </x:c>
    </x:row>
    <x:row r="124" ht="43" customHeight="1">
      <x:c r="A124" s="8" t="n">
        <x:v>119</x:v>
      </x:c>
      <x:c r="B124" s="8" t="str">
        <x:v>l7_code_65_ratio</x:v>
      </x:c>
      <x:c r="C124" s="8" t="str">
        <x:v>L7 ratios</x:v>
      </x:c>
      <x:c r="D124" s="21" t="str">
        <x:v>Category flow count / all bucket flow starts; UNK contains training-unseen codes.</x:v>
      </x:c>
      <x:c r="E124" s="22" t="str">
        <x:v>no</x:v>
      </x:c>
      <x:c r="F124" s="20" t="n">
        <x:v>0.000005958025877919336</x:v>
      </x:c>
      <x:c r="G124" s="20" t="n">
        <x:v>0.0022282248690068183</x:v>
      </x:c>
      <x:c r="H124" s="22" t="str">
        <x:v>no</x:v>
      </x:c>
    </x:row>
    <x:row r="125" ht="43" customHeight="1">
      <x:c r="A125" s="8" t="n">
        <x:v>120</x:v>
      </x:c>
      <x:c r="B125" s="8" t="str">
        <x:v>l7_code_72_ratio</x:v>
      </x:c>
      <x:c r="C125" s="8" t="str">
        <x:v>L7 ratios</x:v>
      </x:c>
      <x:c r="D125" s="21" t="str">
        <x:v>Category flow count / all bucket flow starts; UNK contains training-unseen codes.</x:v>
      </x:c>
      <x:c r="E125" s="22" t="str">
        <x:v>no</x:v>
      </x:c>
      <x:c r="F125" s="20" t="n">
        <x:v>0.000014867933110335356</x:v>
      </x:c>
      <x:c r="G125" s="20" t="n">
        <x:v>0.003659535393524281</x:v>
      </x:c>
      <x:c r="H125" s="22" t="str">
        <x:v>no</x:v>
      </x:c>
    </x:row>
    <x:row r="126" ht="43" customHeight="1">
      <x:c r="A126" s="8" t="n">
        <x:v>121</x:v>
      </x:c>
      <x:c r="B126" s="8" t="str">
        <x:v>l7_code_74_ratio</x:v>
      </x:c>
      <x:c r="C126" s="8" t="str">
        <x:v>L7 ratios</x:v>
      </x:c>
      <x:c r="D126" s="21" t="str">
        <x:v>Category flow count / all bucket flow starts; UNK contains training-unseen codes.</x:v>
      </x:c>
      <x:c r="E126" s="22" t="str">
        <x:v>no</x:v>
      </x:c>
      <x:c r="F126" s="20" t="n">
        <x:v>5.106879323930939e-7</x:v>
      </x:c>
      <x:c r="G126" s="20" t="n">
        <x:v>0.0007146241470807813</x:v>
      </x:c>
      <x:c r="H126" s="22" t="str">
        <x:v>no</x:v>
      </x:c>
    </x:row>
    <x:row r="127" ht="43" customHeight="1">
      <x:c r="A127" s="8" t="n">
        <x:v>122</x:v>
      </x:c>
      <x:c r="B127" s="8" t="str">
        <x:v>l7_code_77_ratio</x:v>
      </x:c>
      <x:c r="C127" s="8" t="str">
        <x:v>L7 ratios</x:v>
      </x:c>
      <x:c r="D127" s="21" t="str">
        <x:v>Category flow count / all bucket flow starts; UNK contains training-unseen codes.</x:v>
      </x:c>
      <x:c r="E127" s="22" t="str">
        <x:v>no</x:v>
      </x:c>
      <x:c r="F127" s="20" t="n">
        <x:v>0.033726070203944455</x:v>
      </x:c>
      <x:c r="G127" s="20" t="n">
        <x:v>0.18047253422575973</x:v>
      </x:c>
      <x:c r="H127" s="22" t="str">
        <x:v>no</x:v>
      </x:c>
    </x:row>
    <x:row r="128" ht="43" customHeight="1">
      <x:c r="A128" s="8" t="n">
        <x:v>123</x:v>
      </x:c>
      <x:c r="B128" s="8" t="str">
        <x:v>l7_code_78_ratio</x:v>
      </x:c>
      <x:c r="C128" s="8" t="str">
        <x:v>L7 ratios</x:v>
      </x:c>
      <x:c r="D128" s="21" t="str">
        <x:v>Category flow count / all bucket flow starts; UNK contains training-unseen codes.</x:v>
      </x:c>
      <x:c r="E128" s="22" t="str">
        <x:v>no</x:v>
      </x:c>
      <x:c r="F128" s="20" t="n">
        <x:v>0.000004260525669341318</x:v>
      </x:c>
      <x:c r="G128" s="20" t="n">
        <x:v>0.0012439621135826372</x:v>
      </x:c>
      <x:c r="H128" s="22" t="str">
        <x:v>no</x:v>
      </x:c>
    </x:row>
    <x:row r="129" ht="43" customHeight="1">
      <x:c r="A129" s="8" t="n">
        <x:v>124</x:v>
      </x:c>
      <x:c r="B129" s="8" t="str">
        <x:v>l7_code_79_ratio</x:v>
      </x:c>
      <x:c r="C129" s="8" t="str">
        <x:v>L7 ratios</x:v>
      </x:c>
      <x:c r="D129" s="21" t="str">
        <x:v>Category flow count / all bucket flow starts; UNK contains training-unseen codes.</x:v>
      </x:c>
      <x:c r="E129" s="22" t="str">
        <x:v>no</x:v>
      </x:c>
      <x:c r="F129" s="20" t="n">
        <x:v>0.0009890309849072095</x:v>
      </x:c>
      <x:c r="G129" s="20" t="n">
        <x:v>0.031316736481334095</x:v>
      </x:c>
      <x:c r="H129" s="22" t="str">
        <x:v>no</x:v>
      </x:c>
    </x:row>
    <x:row r="130" ht="43" customHeight="1">
      <x:c r="A130" s="8" t="n">
        <x:v>125</x:v>
      </x:c>
      <x:c r="B130" s="8" t="str">
        <x:v>l7_code_80_ratio</x:v>
      </x:c>
      <x:c r="C130" s="8" t="str">
        <x:v>L7 ratios</x:v>
      </x:c>
      <x:c r="D130" s="21" t="str">
        <x:v>Category flow count / all bucket flow starts; UNK contains training-unseen codes.</x:v>
      </x:c>
      <x:c r="E130" s="22" t="str">
        <x:v>no</x:v>
      </x:c>
      <x:c r="F130" s="20" t="n">
        <x:v>0.0000045961913915379</x:v>
      </x:c>
      <x:c r="G130" s="20" t="n">
        <x:v>0.0021438680618364654</x:v>
      </x:c>
      <x:c r="H130" s="22" t="str">
        <x:v>no</x:v>
      </x:c>
    </x:row>
    <x:row r="131" ht="43" customHeight="1">
      <x:c r="A131" s="8" t="n">
        <x:v>126</x:v>
      </x:c>
      <x:c r="B131" s="8" t="str">
        <x:v>l7_code_81_ratio</x:v>
      </x:c>
      <x:c r="C131" s="8" t="str">
        <x:v>L7 ratios</x:v>
      </x:c>
      <x:c r="D131" s="21" t="str">
        <x:v>Category flow count / all bucket flow starts; UNK contains training-unseen codes.</x:v>
      </x:c>
      <x:c r="E131" s="22" t="str">
        <x:v>no</x:v>
      </x:c>
      <x:c r="F131" s="20" t="n">
        <x:v>0.0074054115458227375</x:v>
      </x:c>
      <x:c r="G131" s="20" t="n">
        <x:v>0.08504459764099431</x:v>
      </x:c>
      <x:c r="H131" s="22" t="str">
        <x:v>no</x:v>
      </x:c>
    </x:row>
    <x:row r="132" ht="43" customHeight="1">
      <x:c r="A132" s="8" t="n">
        <x:v>127</x:v>
      </x:c>
      <x:c r="B132" s="8" t="str">
        <x:v>l7_code_82_ratio</x:v>
      </x:c>
      <x:c r="C132" s="8" t="str">
        <x:v>L7 ratios</x:v>
      </x:c>
      <x:c r="D132" s="21" t="str">
        <x:v>Category flow count / all bucket flow starts; UNK contains training-unseen codes.</x:v>
      </x:c>
      <x:c r="E132" s="22" t="str">
        <x:v>no</x:v>
      </x:c>
      <x:c r="F132" s="20" t="n">
        <x:v>0.0011365842692264416</x:v>
      </x:c>
      <x:c r="G132" s="20" t="n">
        <x:v>0.018709159757630624</x:v>
      </x:c>
      <x:c r="H132" s="22" t="str">
        <x:v>no</x:v>
      </x:c>
    </x:row>
    <x:row r="133" ht="43" customHeight="1">
      <x:c r="A133" s="8" t="n">
        <x:v>128</x:v>
      </x:c>
      <x:c r="B133" s="8" t="str">
        <x:v>l7_code_85_ratio</x:v>
      </x:c>
      <x:c r="C133" s="8" t="str">
        <x:v>L7 ratios</x:v>
      </x:c>
      <x:c r="D133" s="21" t="str">
        <x:v>Category flow count / all bucket flow starts; UNK contains training-unseen codes.</x:v>
      </x:c>
      <x:c r="E133" s="22" t="str">
        <x:v>no</x:v>
      </x:c>
      <x:c r="F133" s="20" t="n">
        <x:v>0.0000014067935715344508</x:v>
      </x:c>
      <x:c r="G133" s="20" t="n">
        <x:v>0.0010761446925526576</x:v>
      </x:c>
      <x:c r="H133" s="22" t="str">
        <x:v>no</x:v>
      </x:c>
    </x:row>
    <x:row r="134" ht="43" customHeight="1">
      <x:c r="A134" s="8" t="n">
        <x:v>129</x:v>
      </x:c>
      <x:c r="B134" s="8" t="str">
        <x:v>l7_code_88_ratio</x:v>
      </x:c>
      <x:c r="C134" s="8" t="str">
        <x:v>L7 ratios</x:v>
      </x:c>
      <x:c r="D134" s="21" t="str">
        <x:v>Category flow count / all bucket flow starts; UNK contains training-unseen codes.</x:v>
      </x:c>
      <x:c r="E134" s="22" t="str">
        <x:v>no</x:v>
      </x:c>
      <x:c r="F134" s="20" t="n">
        <x:v>0.3351818415810663</x:v>
      </x:c>
      <x:c r="G134" s="20" t="n">
        <x:v>0.46581080450793694</x:v>
      </x:c>
      <x:c r="H134" s="22" t="str">
        <x:v>no</x:v>
      </x:c>
    </x:row>
    <x:row r="135" ht="43" customHeight="1">
      <x:c r="A135" s="8" t="n">
        <x:v>130</x:v>
      </x:c>
      <x:c r="B135" s="8" t="str">
        <x:v>l7_code_89_ratio</x:v>
      </x:c>
      <x:c r="C135" s="8" t="str">
        <x:v>L7 ratios</x:v>
      </x:c>
      <x:c r="D135" s="21" t="str">
        <x:v>Category flow count / all bucket flow starts; UNK contains training-unseen codes.</x:v>
      </x:c>
      <x:c r="E135" s="22" t="str">
        <x:v>no</x:v>
      </x:c>
      <x:c r="F135" s="20" t="n">
        <x:v>0.0007499983678925635</x:v>
      </x:c>
      <x:c r="G135" s="20" t="n">
        <x:v>0.02728916232063281</x:v>
      </x:c>
      <x:c r="H135" s="22" t="str">
        <x:v>no</x:v>
      </x:c>
    </x:row>
    <x:row r="136" ht="43" customHeight="1">
      <x:c r="A136" s="8" t="n">
        <x:v>131</x:v>
      </x:c>
      <x:c r="B136" s="8" t="str">
        <x:v>l7_code_91_ratio</x:v>
      </x:c>
      <x:c r="C136" s="8" t="str">
        <x:v>L7 ratios</x:v>
      </x:c>
      <x:c r="D136" s="21" t="str">
        <x:v>Category flow count / all bucket flow starts; UNK contains training-unseen codes.</x:v>
      </x:c>
      <x:c r="E136" s="22" t="str">
        <x:v>no</x:v>
      </x:c>
      <x:c r="F136" s="20" t="n">
        <x:v>0.10721931272933094</x:v>
      </x:c>
      <x:c r="G136" s="20" t="n">
        <x:v>0.2799914365036074</x:v>
      </x:c>
      <x:c r="H136" s="22" t="str">
        <x:v>no</x:v>
      </x:c>
    </x:row>
    <x:row r="137" ht="43" customHeight="1">
      <x:c r="A137" s="8" t="n">
        <x:v>132</x:v>
      </x:c>
      <x:c r="B137" s="8" t="str">
        <x:v>l7_code_92_ratio</x:v>
      </x:c>
      <x:c r="C137" s="8" t="str">
        <x:v>L7 ratios</x:v>
      </x:c>
      <x:c r="D137" s="21" t="str">
        <x:v>Category flow count / all bucket flow starts; UNK contains training-unseen codes.</x:v>
      </x:c>
      <x:c r="E137" s="22" t="str">
        <x:v>no</x:v>
      </x:c>
      <x:c r="F137" s="20" t="n">
        <x:v>0.006595738950265831</x:v>
      </x:c>
      <x:c r="G137" s="20" t="n">
        <x:v>0.08091862810138195</x:v>
      </x:c>
      <x:c r="H137" s="22" t="str">
        <x:v>no</x:v>
      </x:c>
    </x:row>
    <x:row r="138" ht="43" customHeight="1">
      <x:c r="A138" s="8" t="n">
        <x:v>133</x:v>
      </x:c>
      <x:c r="B138" s="8" t="str">
        <x:v>l7_code_95_ratio</x:v>
      </x:c>
      <x:c r="C138" s="8" t="str">
        <x:v>L7 ratios</x:v>
      </x:c>
      <x:c r="D138" s="21" t="str">
        <x:v>Category flow count / all bucket flow starts; UNK contains training-unseen codes.</x:v>
      </x:c>
      <x:c r="E138" s="22" t="str">
        <x:v>no</x:v>
      </x:c>
      <x:c r="F138" s="20" t="n">
        <x:v>0.000002059968691021561</x:v>
      </x:c>
      <x:c r="G138" s="20" t="n">
        <x:v>0.0012171927806328277</x:v>
      </x:c>
      <x:c r="H138" s="22" t="str">
        <x:v>no</x:v>
      </x:c>
    </x:row>
    <x:row r="139" ht="43" customHeight="1">
      <x:c r="A139" s="8" t="n">
        <x:v>134</x:v>
      </x:c>
      <x:c r="B139" s="8" t="str">
        <x:v>l7_code_96_ratio</x:v>
      </x:c>
      <x:c r="C139" s="8" t="str">
        <x:v>L7 ratios</x:v>
      </x:c>
      <x:c r="D139" s="21" t="str">
        <x:v>Category flow count / all bucket flow starts; UNK contains training-unseen codes.</x:v>
      </x:c>
      <x:c r="E139" s="22" t="str">
        <x:v>no</x:v>
      </x:c>
      <x:c r="F139" s="20" t="n">
        <x:v>0.000012682083654428287</x:v>
      </x:c>
      <x:c r="G139" s="20" t="n">
        <x:v>0.003527146811359839</x:v>
      </x:c>
      <x:c r="H139" s="22" t="str">
        <x:v>no</x:v>
      </x:c>
    </x:row>
    <x:row r="140" ht="43" customHeight="1">
      <x:c r="A140" s="8" t="n">
        <x:v>135</x:v>
      </x:c>
      <x:c r="B140" s="8" t="str">
        <x:v>l7_code_97_ratio</x:v>
      </x:c>
      <x:c r="C140" s="8" t="str">
        <x:v>L7 ratios</x:v>
      </x:c>
      <x:c r="D140" s="21" t="str">
        <x:v>Category flow count / all bucket flow starts; UNK contains training-unseen codes.</x:v>
      </x:c>
      <x:c r="E140" s="22" t="str">
        <x:v>no</x:v>
      </x:c>
      <x:c r="F140" s="20" t="n">
        <x:v>0.000003017980705797705</x:v>
      </x:c>
      <x:c r="G140" s="20" t="n">
        <x:v>0.001492431713458105</x:v>
      </x:c>
      <x:c r="H140" s="22" t="str">
        <x:v>no</x:v>
      </x:c>
    </x:row>
    <x:row r="141" ht="43" customHeight="1">
      <x:c r="A141" s="8" t="n">
        <x:v>136</x:v>
      </x:c>
      <x:c r="B141" s="8" t="str">
        <x:v>l7_code_100_ratio</x:v>
      </x:c>
      <x:c r="C141" s="8" t="str">
        <x:v>L7 ratios</x:v>
      </x:c>
      <x:c r="D141" s="21" t="str">
        <x:v>Category flow count / all bucket flow starts; UNK contains training-unseen codes.</x:v>
      </x:c>
      <x:c r="E141" s="22" t="str">
        <x:v>no</x:v>
      </x:c>
      <x:c r="F141" s="20" t="n">
        <x:v>0.0034832112499109586</x:v>
      </x:c>
      <x:c r="G141" s="20" t="n">
        <x:v>0.05890377350853706</x:v>
      </x:c>
      <x:c r="H141" s="22" t="str">
        <x:v>no</x:v>
      </x:c>
    </x:row>
    <x:row r="142" ht="43" customHeight="1">
      <x:c r="A142" s="8" t="n">
        <x:v>137</x:v>
      </x:c>
      <x:c r="B142" s="8" t="str">
        <x:v>l7_code_102_ratio</x:v>
      </x:c>
      <x:c r="C142" s="8" t="str">
        <x:v>L7 ratios</x:v>
      </x:c>
      <x:c r="D142" s="21" t="str">
        <x:v>Category flow count / all bucket flow starts; UNK contains training-unseen codes.</x:v>
      </x:c>
      <x:c r="E142" s="22" t="str">
        <x:v>no</x:v>
      </x:c>
      <x:c r="F142" s="20" t="n">
        <x:v>0.000288567115586596</x:v>
      </x:c>
      <x:c r="G142" s="20" t="n">
        <x:v>0.01217975471328224</x:v>
      </x:c>
      <x:c r="H142" s="22" t="str">
        <x:v>no</x:v>
      </x:c>
    </x:row>
    <x:row r="143" ht="43" customHeight="1">
      <x:c r="A143" s="8" t="n">
        <x:v>138</x:v>
      </x:c>
      <x:c r="B143" s="8" t="str">
        <x:v>l7_code_103_ratio</x:v>
      </x:c>
      <x:c r="C143" s="8" t="str">
        <x:v>L7 ratios</x:v>
      </x:c>
      <x:c r="D143" s="21" t="str">
        <x:v>Category flow count / all bucket flow starts; UNK contains training-unseen codes.</x:v>
      </x:c>
      <x:c r="E143" s="22" t="str">
        <x:v>no</x:v>
      </x:c>
      <x:c r="F143" s="20" t="n">
        <x:v>0.0021872520770951183</x:v>
      </x:c>
      <x:c r="G143" s="20" t="n">
        <x:v>0.044826831103623524</x:v>
      </x:c>
      <x:c r="H143" s="22" t="str">
        <x:v>no</x:v>
      </x:c>
    </x:row>
    <x:row r="144" ht="43" customHeight="1">
      <x:c r="A144" s="8" t="n">
        <x:v>139</x:v>
      </x:c>
      <x:c r="B144" s="8" t="str">
        <x:v>l7_code_111_ratio</x:v>
      </x:c>
      <x:c r="C144" s="8" t="str">
        <x:v>L7 ratios</x:v>
      </x:c>
      <x:c r="D144" s="21" t="str">
        <x:v>Category flow count / all bucket flow starts; UNK contains training-unseen codes.</x:v>
      </x:c>
      <x:c r="E144" s="22" t="str">
        <x:v>no</x:v>
      </x:c>
      <x:c r="F144" s="20" t="n">
        <x:v>0.00014787821578119927</x:v>
      </x:c>
      <x:c r="G144" s="20" t="n">
        <x:v>0.012070648854772</x:v>
      </x:c>
      <x:c r="H144" s="22" t="str">
        <x:v>no</x:v>
      </x:c>
    </x:row>
    <x:row r="145" ht="43" customHeight="1">
      <x:c r="A145" s="8" t="n">
        <x:v>140</x:v>
      </x:c>
      <x:c r="B145" s="8" t="str">
        <x:v>l7_code_112_ratio</x:v>
      </x:c>
      <x:c r="C145" s="8" t="str">
        <x:v>L7 ratios</x:v>
      </x:c>
      <x:c r="D145" s="21" t="str">
        <x:v>Category flow count / all bucket flow starts; UNK contains training-unseen codes.</x:v>
      </x:c>
      <x:c r="E145" s="22" t="str">
        <x:v>no</x:v>
      </x:c>
      <x:c r="F145" s="20" t="n">
        <x:v>0.00015457609859931466</x:v>
      </x:c>
      <x:c r="G145" s="20" t="n">
        <x:v>0.01230582442730168</x:v>
      </x:c>
      <x:c r="H145" s="22" t="str">
        <x:v>no</x:v>
      </x:c>
    </x:row>
    <x:row r="146" ht="43" customHeight="1">
      <x:c r="A146" s="8" t="n">
        <x:v>141</x:v>
      </x:c>
      <x:c r="B146" s="8" t="str">
        <x:v>l7_code_114_ratio</x:v>
      </x:c>
      <x:c r="C146" s="8" t="str">
        <x:v>L7 ratios</x:v>
      </x:c>
      <x:c r="D146" s="21" t="str">
        <x:v>Category flow count / all bucket flow starts; UNK contains training-unseen codes.</x:v>
      </x:c>
      <x:c r="E146" s="22" t="str">
        <x:v>no</x:v>
      </x:c>
      <x:c r="F146" s="20" t="n">
        <x:v>0.0006996909432046817</x:v>
      </x:c>
      <x:c r="G146" s="20" t="n">
        <x:v>0.026223973287134033</x:v>
      </x:c>
      <x:c r="H146" s="22" t="str">
        <x:v>no</x:v>
      </x:c>
    </x:row>
    <x:row r="147" ht="43" customHeight="1">
      <x:c r="A147" s="8" t="n">
        <x:v>142</x:v>
      </x:c>
      <x:c r="B147" s="8" t="str">
        <x:v>l7_code_115_ratio</x:v>
      </x:c>
      <x:c r="C147" s="8" t="str">
        <x:v>L7 ratios</x:v>
      </x:c>
      <x:c r="D147" s="21" t="str">
        <x:v>Category flow count / all bucket flow starts; UNK contains training-unseen codes.</x:v>
      </x:c>
      <x:c r="E147" s="22" t="str">
        <x:v>no</x:v>
      </x:c>
      <x:c r="F147" s="20" t="n">
        <x:v>0.0000022980956957689863</x:v>
      </x:c>
      <x:c r="G147" s="20" t="n">
        <x:v>0.0013838621554295783</x:v>
      </x:c>
      <x:c r="H147" s="22" t="str">
        <x:v>no</x:v>
      </x:c>
    </x:row>
    <x:row r="148" ht="43" customHeight="1">
      <x:c r="A148" s="8" t="n">
        <x:v>143</x:v>
      </x:c>
      <x:c r="B148" s="8" t="str">
        <x:v>l7_code_129_ratio</x:v>
      </x:c>
      <x:c r="C148" s="8" t="str">
        <x:v>L7 ratios</x:v>
      </x:c>
      <x:c r="D148" s="21" t="str">
        <x:v>Category flow count / all bucket flow starts; UNK contains training-unseen codes.</x:v>
      </x:c>
      <x:c r="E148" s="22" t="str">
        <x:v>no</x:v>
      </x:c>
      <x:c r="F148" s="20" t="n">
        <x:v>1.9403036945026098e-10</x:v>
      </x:c>
      <x:c r="G148" s="20" t="n">
        <x:v>2.7151373369331035e-7</x:v>
      </x:c>
      <x:c r="H148" s="22" t="str">
        <x:v>no</x:v>
      </x:c>
    </x:row>
    <x:row r="149" ht="43" customHeight="1">
      <x:c r="A149" s="8" t="n">
        <x:v>144</x:v>
      </x:c>
      <x:c r="B149" s="8" t="str">
        <x:v>l7_code_131_ratio</x:v>
      </x:c>
      <x:c r="C149" s="8" t="str">
        <x:v>L7 ratios</x:v>
      </x:c>
      <x:c r="D149" s="21" t="str">
        <x:v>Category flow count / all bucket flow starts; UNK contains training-unseen codes.</x:v>
      </x:c>
      <x:c r="E149" s="22" t="str">
        <x:v>no</x:v>
      </x:c>
      <x:c r="F149" s="20" t="n">
        <x:v>0.00482215448203466</x:v>
      </x:c>
      <x:c r="G149" s="20" t="n">
        <x:v>0.06897022480725375</x:v>
      </x:c>
      <x:c r="H149" s="22" t="str">
        <x:v>no</x:v>
      </x:c>
    </x:row>
    <x:row r="150" ht="43" customHeight="1">
      <x:c r="A150" s="8" t="n">
        <x:v>145</x:v>
      </x:c>
      <x:c r="B150" s="8" t="str">
        <x:v>l7_code_132_ratio</x:v>
      </x:c>
      <x:c r="C150" s="8" t="str">
        <x:v>L7 ratios</x:v>
      </x:c>
      <x:c r="D150" s="21" t="str">
        <x:v>Category flow count / all bucket flow starts; UNK contains training-unseen codes.</x:v>
      </x:c>
      <x:c r="E150" s="22" t="str">
        <x:v>no</x:v>
      </x:c>
      <x:c r="F150" s="20" t="n">
        <x:v>0.000006391085804943241</x:v>
      </x:c>
      <x:c r="G150" s="20" t="n">
        <x:v>0.002106652932645263</x:v>
      </x:c>
      <x:c r="H150" s="22" t="str">
        <x:v>no</x:v>
      </x:c>
    </x:row>
    <x:row r="151" ht="43" customHeight="1">
      <x:c r="A151" s="8" t="n">
        <x:v>146</x:v>
      </x:c>
      <x:c r="B151" s="8" t="str">
        <x:v>l7_code_138_ratio</x:v>
      </x:c>
      <x:c r="C151" s="8" t="str">
        <x:v>L7 ratios</x:v>
      </x:c>
      <x:c r="D151" s="21" t="str">
        <x:v>Category flow count / all bucket flow starts; UNK contains training-unseen codes.</x:v>
      </x:c>
      <x:c r="E151" s="22" t="str">
        <x:v>no</x:v>
      </x:c>
      <x:c r="F151" s="20" t="n">
        <x:v>0.0000017618733667562719</x:v>
      </x:c>
      <x:c r="G151" s="20" t="n">
        <x:v>0.0008225062604406459</x:v>
      </x:c>
      <x:c r="H151" s="22" t="str">
        <x:v>no</x:v>
      </x:c>
    </x:row>
    <x:row r="152" ht="43" customHeight="1">
      <x:c r="A152" s="8" t="n">
        <x:v>147</x:v>
      </x:c>
      <x:c r="B152" s="8" t="str">
        <x:v>l7_code_139_ratio</x:v>
      </x:c>
      <x:c r="C152" s="8" t="str">
        <x:v>L7 ratios</x:v>
      </x:c>
      <x:c r="D152" s="21" t="str">
        <x:v>Category flow count / all bucket flow starts; UNK contains training-unseen codes.</x:v>
      </x:c>
      <x:c r="E152" s="22" t="str">
        <x:v>no</x:v>
      </x:c>
      <x:c r="F152" s="20" t="n">
        <x:v>0.00009748548510232308</x:v>
      </x:c>
      <x:c r="G152" s="20" t="n">
        <x:v>0.009505851184498443</x:v>
      </x:c>
      <x:c r="H152" s="22" t="str">
        <x:v>no</x:v>
      </x:c>
    </x:row>
    <x:row r="153" ht="43" customHeight="1">
      <x:c r="A153" s="8" t="n">
        <x:v>148</x:v>
      </x:c>
      <x:c r="B153" s="8" t="str">
        <x:v>l7_code_144_ratio</x:v>
      </x:c>
      <x:c r="C153" s="8" t="str">
        <x:v>L7 ratios</x:v>
      </x:c>
      <x:c r="D153" s="21" t="str">
        <x:v>Category flow count / all bucket flow starts; UNK contains training-unseen codes.</x:v>
      </x:c>
      <x:c r="E153" s="22" t="str">
        <x:v>no</x:v>
      </x:c>
      <x:c r="F153" s="20" t="n">
        <x:v>0.00003385685358350302</x:v>
      </x:c>
      <x:c r="G153" s="20" t="n">
        <x:v>0.005510533226335806</x:v>
      </x:c>
      <x:c r="H153" s="22" t="str">
        <x:v>no</x:v>
      </x:c>
    </x:row>
    <x:row r="154" ht="43" customHeight="1">
      <x:c r="A154" s="8" t="n">
        <x:v>149</x:v>
      </x:c>
      <x:c r="B154" s="8" t="str">
        <x:v>l7_code_146_ratio</x:v>
      </x:c>
      <x:c r="C154" s="8" t="str">
        <x:v>L7 ratios</x:v>
      </x:c>
      <x:c r="D154" s="21" t="str">
        <x:v>Category flow count / all bucket flow starts; UNK contains training-unseen codes.</x:v>
      </x:c>
      <x:c r="E154" s="22" t="str">
        <x:v>no</x:v>
      </x:c>
      <x:c r="F154" s="20" t="n">
        <x:v>0.000011760327694736319</x:v>
      </x:c>
      <x:c r="G154" s="20" t="n">
        <x:v>0.003029674469852917</x:v>
      </x:c>
      <x:c r="H154" s="22" t="str">
        <x:v>no</x:v>
      </x:c>
    </x:row>
    <x:row r="155" ht="43" customHeight="1">
      <x:c r="A155" s="8" t="n">
        <x:v>150</x:v>
      </x:c>
      <x:c r="B155" s="8" t="str">
        <x:v>l7_code_148_ratio</x:v>
      </x:c>
      <x:c r="C155" s="8" t="str">
        <x:v>L7 ratios</x:v>
      </x:c>
      <x:c r="D155" s="21" t="str">
        <x:v>Category flow count / all bucket flow starts; UNK contains training-unseen codes.</x:v>
      </x:c>
      <x:c r="E155" s="22" t="str">
        <x:v>no</x:v>
      </x:c>
      <x:c r="F155" s="20" t="n">
        <x:v>0.00002227469934824744</x:v>
      </x:c>
      <x:c r="G155" s="20" t="n">
        <x:v>0.004460689398331859</x:v>
      </x:c>
      <x:c r="H155" s="22" t="str">
        <x:v>no</x:v>
      </x:c>
    </x:row>
    <x:row r="156" ht="43" customHeight="1">
      <x:c r="A156" s="8" t="n">
        <x:v>151</x:v>
      </x:c>
      <x:c r="B156" s="8" t="str">
        <x:v>l7_code_150_ratio</x:v>
      </x:c>
      <x:c r="C156" s="8" t="str">
        <x:v>L7 ratios</x:v>
      </x:c>
      <x:c r="D156" s="21" t="str">
        <x:v>Category flow count / all bucket flow starts; UNK contains training-unseen codes.</x:v>
      </x:c>
      <x:c r="E156" s="22" t="str">
        <x:v>no</x:v>
      </x:c>
      <x:c r="F156" s="20" t="n">
        <x:v>0.0000025982380250649815</x:v>
      </x:c>
      <x:c r="G156" s="20" t="n">
        <x:v>0.0010683355325116777</x:v>
      </x:c>
      <x:c r="H156" s="22" t="str">
        <x:v>no</x:v>
      </x:c>
    </x:row>
    <x:row r="157" ht="43" customHeight="1">
      <x:c r="A157" s="8" t="n">
        <x:v>152</x:v>
      </x:c>
      <x:c r="B157" s="8" t="str">
        <x:v>l7_code_151_ratio</x:v>
      </x:c>
      <x:c r="C157" s="8" t="str">
        <x:v>L7 ratios</x:v>
      </x:c>
      <x:c r="D157" s="21" t="str">
        <x:v>Category flow count / all bucket flow starts; UNK contains training-unseen codes.</x:v>
      </x:c>
      <x:c r="E157" s="22" t="str">
        <x:v>no</x:v>
      </x:c>
      <x:c r="F157" s="20" t="n">
        <x:v>0.000022223436524639343</x:v>
      </x:c>
      <x:c r="G157" s="20" t="n">
        <x:v>0.004247082902391726</x:v>
      </x:c>
      <x:c r="H157" s="22" t="str">
        <x:v>no</x:v>
      </x:c>
    </x:row>
    <x:row r="158" ht="43" customHeight="1">
      <x:c r="A158" s="8" t="n">
        <x:v>153</x:v>
      </x:c>
      <x:c r="B158" s="8" t="str">
        <x:v>l7_code_152_ratio</x:v>
      </x:c>
      <x:c r="C158" s="8" t="str">
        <x:v>L7 ratios</x:v>
      </x:c>
      <x:c r="D158" s="21" t="str">
        <x:v>Category flow count / all bucket flow starts; UNK contains training-unseen codes.</x:v>
      </x:c>
      <x:c r="E158" s="22" t="str">
        <x:v>no</x:v>
      </x:c>
      <x:c r="F158" s="20" t="n">
        <x:v>0.000013277886242220502</x:v>
      </x:c>
      <x:c r="G158" s="20" t="n">
        <x:v>0.00364385920967833</x:v>
      </x:c>
      <x:c r="H158" s="22" t="str">
        <x:v>no</x:v>
      </x:c>
    </x:row>
    <x:row r="159" ht="43" customHeight="1">
      <x:c r="A159" s="8" t="n">
        <x:v>154</x:v>
      </x:c>
      <x:c r="B159" s="8" t="str">
        <x:v>l7_code_153_ratio</x:v>
      </x:c>
      <x:c r="C159" s="8" t="str">
        <x:v>L7 ratios</x:v>
      </x:c>
      <x:c r="D159" s="21" t="str">
        <x:v>Category flow count / all bucket flow starts; UNK contains training-unseen codes.</x:v>
      </x:c>
      <x:c r="E159" s="22" t="str">
        <x:v>no</x:v>
      </x:c>
      <x:c r="F159" s="20" t="n">
        <x:v>0.000011935388352114525</x:v>
      </x:c>
      <x:c r="G159" s="20" t="n">
        <x:v>0.0032318701097643187</x:v>
      </x:c>
      <x:c r="H159" s="22" t="str">
        <x:v>no</x:v>
      </x:c>
    </x:row>
    <x:row r="160" ht="43" customHeight="1">
      <x:c r="A160" s="8" t="n">
        <x:v>155</x:v>
      </x:c>
      <x:c r="B160" s="8" t="str">
        <x:v>l7_code_154_ratio</x:v>
      </x:c>
      <x:c r="C160" s="8" t="str">
        <x:v>L7 ratios</x:v>
      </x:c>
      <x:c r="D160" s="21" t="str">
        <x:v>Category flow count / all bucket flow starts; UNK contains training-unseen codes.</x:v>
      </x:c>
      <x:c r="E160" s="22" t="str">
        <x:v>no</x:v>
      </x:c>
      <x:c r="F160" s="20" t="n">
        <x:v>0.0054448401788441325</x:v>
      </x:c>
      <x:c r="G160" s="20" t="n">
        <x:v>0.05877663320400152</x:v>
      </x:c>
      <x:c r="H160" s="22" t="str">
        <x:v>no</x:v>
      </x:c>
    </x:row>
    <x:row r="161" ht="43" customHeight="1">
      <x:c r="A161" s="8" t="n">
        <x:v>156</x:v>
      </x:c>
      <x:c r="B161" s="8" t="str">
        <x:v>l7_code_158_ratio</x:v>
      </x:c>
      <x:c r="C161" s="8" t="str">
        <x:v>L7 ratios</x:v>
      </x:c>
      <x:c r="D161" s="21" t="str">
        <x:v>Category flow count / all bucket flow starts; UNK contains training-unseen codes.</x:v>
      </x:c>
      <x:c r="E161" s="22" t="str">
        <x:v>no</x:v>
      </x:c>
      <x:c r="F161" s="20" t="n">
        <x:v>0.000005049915938564078</x:v>
      </x:c>
      <x:c r="G161" s="20" t="n">
        <x:v>0.0019082326767465916</x:v>
      </x:c>
      <x:c r="H161" s="22" t="str">
        <x:v>no</x:v>
      </x:c>
    </x:row>
    <x:row r="162" ht="43" customHeight="1">
      <x:c r="A162" s="8" t="n">
        <x:v>157</x:v>
      </x:c>
      <x:c r="B162" s="8" t="str">
        <x:v>l7_code_159_ratio</x:v>
      </x:c>
      <x:c r="C162" s="8" t="str">
        <x:v>L7 ratios</x:v>
      </x:c>
      <x:c r="D162" s="21" t="str">
        <x:v>Category flow count / all bucket flow starts; UNK contains training-unseen codes.</x:v>
      </x:c>
      <x:c r="E162" s="22" t="str">
        <x:v>no</x:v>
      </x:c>
      <x:c r="F162" s="20" t="n">
        <x:v>0.00002092118229703671</x:v>
      </x:c>
      <x:c r="G162" s="20" t="n">
        <x:v>0.004464844137943818</x:v>
      </x:c>
      <x:c r="H162" s="22" t="str">
        <x:v>no</x:v>
      </x:c>
    </x:row>
    <x:row r="163" ht="43" customHeight="1">
      <x:c r="A163" s="8" t="n">
        <x:v>158</x:v>
      </x:c>
      <x:c r="B163" s="8" t="str">
        <x:v>l7_code_161_ratio</x:v>
      </x:c>
      <x:c r="C163" s="8" t="str">
        <x:v>L7 ratios</x:v>
      </x:c>
      <x:c r="D163" s="21" t="str">
        <x:v>Category flow count / all bucket flow starts; UNK contains training-unseen codes.</x:v>
      </x:c>
      <x:c r="E163" s="22" t="str">
        <x:v>no</x:v>
      </x:c>
      <x:c r="F163" s="20" t="n">
        <x:v>0.00012150414497018564</x:v>
      </x:c>
      <x:c r="G163" s="20" t="n">
        <x:v>0.010540702516540821</x:v>
      </x:c>
      <x:c r="H163" s="22" t="str">
        <x:v>no</x:v>
      </x:c>
    </x:row>
    <x:row r="164" ht="43" customHeight="1">
      <x:c r="A164" s="8" t="n">
        <x:v>159</x:v>
      </x:c>
      <x:c r="B164" s="8" t="str">
        <x:v>l7_code_162_ratio</x:v>
      </x:c>
      <x:c r="C164" s="8" t="str">
        <x:v>L7 ratios</x:v>
      </x:c>
      <x:c r="D164" s="21" t="str">
        <x:v>Category flow count / all bucket flow starts; UNK contains training-unseen codes.</x:v>
      </x:c>
      <x:c r="E164" s="22" t="str">
        <x:v>no</x:v>
      </x:c>
      <x:c r="F164" s="20" t="n">
        <x:v>0.000009788185370867783</x:v>
      </x:c>
      <x:c r="G164" s="20" t="n">
        <x:v>0.0031172360646566527</x:v>
      </x:c>
      <x:c r="H164" s="22" t="str">
        <x:v>no</x:v>
      </x:c>
    </x:row>
    <x:row r="165" ht="43" customHeight="1">
      <x:c r="A165" s="8" t="n">
        <x:v>160</x:v>
      </x:c>
      <x:c r="B165" s="8" t="str">
        <x:v>l7_code_164_ratio</x:v>
      </x:c>
      <x:c r="C165" s="8" t="str">
        <x:v>L7 ratios</x:v>
      </x:c>
      <x:c r="D165" s="21" t="str">
        <x:v>Category flow count / all bucket flow starts; UNK contains training-unseen codes.</x:v>
      </x:c>
      <x:c r="E165" s="22" t="str">
        <x:v>no</x:v>
      </x:c>
      <x:c r="F165" s="20" t="n">
        <x:v>0.00003812310828379727</x:v>
      </x:c>
      <x:c r="G165" s="20" t="n">
        <x:v>0.005846085206624539</x:v>
      </x:c>
      <x:c r="H165" s="22" t="str">
        <x:v>no</x:v>
      </x:c>
    </x:row>
    <x:row r="166" ht="43" customHeight="1">
      <x:c r="A166" s="8" t="n">
        <x:v>161</x:v>
      </x:c>
      <x:c r="B166" s="8" t="str">
        <x:v>l7_code_166_ratio</x:v>
      </x:c>
      <x:c r="C166" s="8" t="str">
        <x:v>L7 ratios</x:v>
      </x:c>
      <x:c r="D166" s="21" t="str">
        <x:v>Category flow count / all bucket flow starts; UNK contains training-unseen codes.</x:v>
      </x:c>
      <x:c r="E166" s="22" t="str">
        <x:v>no</x:v>
      </x:c>
      <x:c r="F166" s="20" t="n">
        <x:v>0.000025127143114481314</x:v>
      </x:c>
      <x:c r="G166" s="20" t="n">
        <x:v>0.0049229671550108526</x:v>
      </x:c>
      <x:c r="H166" s="22" t="str">
        <x:v>no</x:v>
      </x:c>
    </x:row>
    <x:row r="167" ht="43" customHeight="1">
      <x:c r="A167" s="8" t="n">
        <x:v>162</x:v>
      </x:c>
      <x:c r="B167" s="8" t="str">
        <x:v>l7_code_167_ratio</x:v>
      </x:c>
      <x:c r="C167" s="8" t="str">
        <x:v>L7 ratios</x:v>
      </x:c>
      <x:c r="D167" s="21" t="str">
        <x:v>Category flow count / all bucket flow starts; UNK contains training-unseen codes.</x:v>
      </x:c>
      <x:c r="E167" s="22" t="str">
        <x:v>no</x:v>
      </x:c>
      <x:c r="F167" s="20" t="n">
        <x:v>0.00005887737391505745</x:v>
      </x:c>
      <x:c r="G167" s="20" t="n">
        <x:v>0.007618139720925463</x:v>
      </x:c>
      <x:c r="H167" s="22" t="str">
        <x:v>no</x:v>
      </x:c>
    </x:row>
    <x:row r="168" ht="43" customHeight="1">
      <x:c r="A168" s="8" t="n">
        <x:v>163</x:v>
      </x:c>
      <x:c r="B168" s="8" t="str">
        <x:v>l7_code_168_ratio</x:v>
      </x:c>
      <x:c r="C168" s="8" t="str">
        <x:v>L7 ratios</x:v>
      </x:c>
      <x:c r="D168" s="21" t="str">
        <x:v>Category flow count / all bucket flow starts; UNK contains training-unseen codes.</x:v>
      </x:c>
      <x:c r="E168" s="22" t="str">
        <x:v>no</x:v>
      </x:c>
      <x:c r="F168" s="20" t="n">
        <x:v>8.676119030592834e-7</x:v>
      </x:c>
      <x:c r="G168" s="20" t="n">
        <x:v>0.0005886737270737335</x:v>
      </x:c>
      <x:c r="H168" s="22" t="str">
        <x:v>no</x:v>
      </x:c>
    </x:row>
    <x:row r="169" ht="43" customHeight="1">
      <x:c r="A169" s="8" t="n">
        <x:v>164</x:v>
      </x:c>
      <x:c r="B169" s="8" t="str">
        <x:v>l7_code_170_ratio</x:v>
      </x:c>
      <x:c r="C169" s="8" t="str">
        <x:v>L7 ratios</x:v>
      </x:c>
      <x:c r="D169" s="21" t="str">
        <x:v>Category flow count / all bucket flow starts; UNK contains training-unseen codes.</x:v>
      </x:c>
      <x:c r="E169" s="22" t="str">
        <x:v>no</x:v>
      </x:c>
      <x:c r="F169" s="20" t="n">
        <x:v>0.000013534215916168672</x:v>
      </x:c>
      <x:c r="G169" s="20" t="n">
        <x:v>0.003399278648909309</x:v>
      </x:c>
      <x:c r="H169" s="22" t="str">
        <x:v>no</x:v>
      </x:c>
    </x:row>
    <x:row r="170" ht="43" customHeight="1">
      <x:c r="A170" s="8" t="n">
        <x:v>165</x:v>
      </x:c>
      <x:c r="B170" s="8" t="str">
        <x:v>l7_code_172_ratio</x:v>
      </x:c>
      <x:c r="C170" s="8" t="str">
        <x:v>L7 ratios</x:v>
      </x:c>
      <x:c r="D170" s="21" t="str">
        <x:v>Category flow count / all bucket flow starts; UNK contains training-unseen codes.</x:v>
      </x:c>
      <x:c r="E170" s="22" t="str">
        <x:v>no</x:v>
      </x:c>
      <x:c r="F170" s="20" t="n">
        <x:v>0.00017828036916641918</x:v>
      </x:c>
      <x:c r="G170" s="20" t="n">
        <x:v>0.01281141494201729</x:v>
      </x:c>
      <x:c r="H170" s="22" t="str">
        <x:v>no</x:v>
      </x:c>
    </x:row>
    <x:row r="171" ht="43" customHeight="1">
      <x:c r="A171" s="8" t="n">
        <x:v>166</x:v>
      </x:c>
      <x:c r="B171" s="8" t="str">
        <x:v>l7_code_174_ratio</x:v>
      </x:c>
      <x:c r="C171" s="8" t="str">
        <x:v>L7 ratios</x:v>
      </x:c>
      <x:c r="D171" s="21" t="str">
        <x:v>Category flow count / all bucket flow starts; UNK contains training-unseen codes.</x:v>
      </x:c>
      <x:c r="E171" s="22" t="str">
        <x:v>no</x:v>
      </x:c>
      <x:c r="F171" s="20" t="n">
        <x:v>0.0000026491007943713565</x:v>
      </x:c>
      <x:c r="G171" s="20" t="n">
        <x:v>0.001245381505509372</x:v>
      </x:c>
      <x:c r="H171" s="22" t="str">
        <x:v>no</x:v>
      </x:c>
    </x:row>
    <x:row r="172" ht="43" customHeight="1">
      <x:c r="A172" s="8" t="n">
        <x:v>167</x:v>
      </x:c>
      <x:c r="B172" s="8" t="str">
        <x:v>l7_code_175_ratio</x:v>
      </x:c>
      <x:c r="C172" s="8" t="str">
        <x:v>L7 ratios</x:v>
      </x:c>
      <x:c r="D172" s="21" t="str">
        <x:v>Category flow count / all bucket flow starts; UNK contains training-unseen codes.</x:v>
      </x:c>
      <x:c r="E172" s="22" t="str">
        <x:v>no</x:v>
      </x:c>
      <x:c r="F172" s="20" t="n">
        <x:v>0.00006542085862995238</x:v>
      </x:c>
      <x:c r="G172" s="20" t="n">
        <x:v>0.007968188260545</x:v>
      </x:c>
      <x:c r="H172" s="22" t="str">
        <x:v>no</x:v>
      </x:c>
    </x:row>
    <x:row r="173" ht="43" customHeight="1">
      <x:c r="A173" s="8" t="n">
        <x:v>168</x:v>
      </x:c>
      <x:c r="B173" s="8" t="str">
        <x:v>l7_code_182_ratio</x:v>
      </x:c>
      <x:c r="C173" s="8" t="str">
        <x:v>L7 ratios</x:v>
      </x:c>
      <x:c r="D173" s="21" t="str">
        <x:v>Category flow count / all bucket flow starts; UNK contains training-unseen codes.</x:v>
      </x:c>
      <x:c r="E173" s="22" t="str">
        <x:v>no</x:v>
      </x:c>
      <x:c r="F173" s="20" t="n">
        <x:v>0.00027867068225854026</x:v>
      </x:c>
      <x:c r="G173" s="20" t="n">
        <x:v>0.016669932640986197</x:v>
      </x:c>
      <x:c r="H173" s="22" t="str">
        <x:v>no</x:v>
      </x:c>
    </x:row>
    <x:row r="174" ht="43" customHeight="1">
      <x:c r="A174" s="8" t="n">
        <x:v>169</x:v>
      </x:c>
      <x:c r="B174" s="8" t="str">
        <x:v>l7_code_185_ratio</x:v>
      </x:c>
      <x:c r="C174" s="8" t="str">
        <x:v>L7 ratios</x:v>
      </x:c>
      <x:c r="D174" s="21" t="str">
        <x:v>Category flow count / all bucket flow starts; UNK contains training-unseen codes.</x:v>
      </x:c>
      <x:c r="E174" s="22" t="str">
        <x:v>no</x:v>
      </x:c>
      <x:c r="F174" s="20" t="n">
        <x:v>6.133261933152193e-7</x:v>
      </x:c>
      <x:c r="G174" s="20" t="n">
        <x:v>0.0007220127043785918</x:v>
      </x:c>
      <x:c r="H174" s="22" t="str">
        <x:v>no</x:v>
      </x:c>
    </x:row>
    <x:row r="175" ht="43" customHeight="1">
      <x:c r="A175" s="8" t="n">
        <x:v>170</x:v>
      </x:c>
      <x:c r="B175" s="8" t="str">
        <x:v>l7_code_188_ratio</x:v>
      </x:c>
      <x:c r="C175" s="8" t="str">
        <x:v>L7 ratios</x:v>
      </x:c>
      <x:c r="D175" s="21" t="str">
        <x:v>Category flow count / all bucket flow starts; UNK contains training-unseen codes.</x:v>
      </x:c>
      <x:c r="E175" s="22" t="str">
        <x:v>no</x:v>
      </x:c>
      <x:c r="F175" s="20" t="n">
        <x:v>0.00012152546804578235</x:v>
      </x:c>
      <x:c r="G175" s="20" t="n">
        <x:v>0.010655545317682652</x:v>
      </x:c>
      <x:c r="H175" s="22" t="str">
        <x:v>no</x:v>
      </x:c>
    </x:row>
    <x:row r="176" ht="43" customHeight="1">
      <x:c r="A176" s="8" t="n">
        <x:v>171</x:v>
      </x:c>
      <x:c r="B176" s="8" t="str">
        <x:v>l7_code_190_ratio</x:v>
      </x:c>
      <x:c r="C176" s="8" t="str">
        <x:v>L7 ratios</x:v>
      </x:c>
      <x:c r="D176" s="21" t="str">
        <x:v>Category flow count / all bucket flow starts; UNK contains training-unseen codes.</x:v>
      </x:c>
      <x:c r="E176" s="22" t="str">
        <x:v>no</x:v>
      </x:c>
      <x:c r="F176" s="20" t="n">
        <x:v>0.0000010213758647861694</x:v>
      </x:c>
      <x:c r="G176" s="20" t="n">
        <x:v>0.0010106309027421967</x:v>
      </x:c>
      <x:c r="H176" s="22" t="str">
        <x:v>no</x:v>
      </x:c>
    </x:row>
    <x:row r="177" ht="43" customHeight="1">
      <x:c r="A177" s="8" t="n">
        <x:v>172</x:v>
      </x:c>
      <x:c r="B177" s="8" t="str">
        <x:v>l7_code_196_ratio</x:v>
      </x:c>
      <x:c r="C177" s="8" t="str">
        <x:v>L7 ratios</x:v>
      </x:c>
      <x:c r="D177" s="21" t="str">
        <x:v>Category flow count / all bucket flow starts; UNK contains training-unseen codes.</x:v>
      </x:c>
      <x:c r="E177" s="22" t="str">
        <x:v>no</x:v>
      </x:c>
      <x:c r="F177" s="20" t="n">
        <x:v>5.106879323930916e-7</x:v>
      </x:c>
      <x:c r="G177" s="20" t="n">
        <x:v>0.0007146241470807844</x:v>
      </x:c>
      <x:c r="H177" s="22" t="str">
        <x:v>no</x:v>
      </x:c>
    </x:row>
    <x:row r="178" ht="43" customHeight="1">
      <x:c r="A178" s="8" t="n">
        <x:v>173</x:v>
      </x:c>
      <x:c r="B178" s="8" t="str">
        <x:v>l7_code_213_ratio</x:v>
      </x:c>
      <x:c r="C178" s="8" t="str">
        <x:v>L7 ratios</x:v>
      </x:c>
      <x:c r="D178" s="21" t="str">
        <x:v>Category flow count / all bucket flow starts; UNK contains training-unseen codes.</x:v>
      </x:c>
      <x:c r="E178" s="22" t="str">
        <x:v>no</x:v>
      </x:c>
      <x:c r="F178" s="20" t="n">
        <x:v>0.000007956690852425846</x:v>
      </x:c>
      <x:c r="G178" s="20" t="n">
        <x:v>0.0024674278732500087</x:v>
      </x:c>
      <x:c r="H178" s="22" t="str">
        <x:v>no</x:v>
      </x:c>
    </x:row>
    <x:row r="179" ht="43" customHeight="1">
      <x:c r="A179" s="8" t="n">
        <x:v>174</x:v>
      </x:c>
      <x:c r="B179" s="8" t="str">
        <x:v>l7_code_214_ratio</x:v>
      </x:c>
      <x:c r="C179" s="8" t="str">
        <x:v>L7 ratios</x:v>
      </x:c>
      <x:c r="D179" s="21" t="str">
        <x:v>Category flow count / all bucket flow starts; UNK contains training-unseen codes.</x:v>
      </x:c>
      <x:c r="E179" s="22" t="str">
        <x:v>no</x:v>
      </x:c>
      <x:c r="F179" s="20" t="n">
        <x:v>0.00004520451144224418</x:v>
      </x:c>
      <x:c r="G179" s="20" t="n">
        <x:v>0.00644523861109346</x:v>
      </x:c>
      <x:c r="H179" s="22" t="str">
        <x:v>no</x:v>
      </x:c>
    </x:row>
    <x:row r="180" ht="43" customHeight="1">
      <x:c r="A180" s="8" t="n">
        <x:v>175</x:v>
      </x:c>
      <x:c r="B180" s="8" t="str">
        <x:v>l7_code_222_ratio</x:v>
      </x:c>
      <x:c r="C180" s="8" t="str">
        <x:v>L7 ratios</x:v>
      </x:c>
      <x:c r="D180" s="21" t="str">
        <x:v>Category flow count / all bucket flow starts; UNK contains training-unseen codes.</x:v>
      </x:c>
      <x:c r="E180" s="22" t="str">
        <x:v>no</x:v>
      </x:c>
      <x:c r="F180" s="20" t="n">
        <x:v>0.00003565853170436769</x:v>
      </x:c>
      <x:c r="G180" s="20" t="n">
        <x:v>0.005660259212429152</x:v>
      </x:c>
      <x:c r="H180" s="22" t="str">
        <x:v>no</x:v>
      </x:c>
    </x:row>
    <x:row r="181" ht="43" customHeight="1">
      <x:c r="A181" s="8" t="n">
        <x:v>176</x:v>
      </x:c>
      <x:c r="B181" s="8" t="str">
        <x:v>l7_code_226_ratio</x:v>
      </x:c>
      <x:c r="C181" s="8" t="str">
        <x:v>L7 ratios</x:v>
      </x:c>
      <x:c r="D181" s="21" t="str">
        <x:v>Category flow count / all bucket flow starts; UNK contains training-unseen codes.</x:v>
      </x:c>
      <x:c r="E181" s="22" t="str">
        <x:v>no</x:v>
      </x:c>
      <x:c r="F181" s="20" t="n">
        <x:v>0.000015952667763902722</x:v>
      </x:c>
      <x:c r="G181" s="20" t="n">
        <x:v>0.0038671970311212078</x:v>
      </x:c>
      <x:c r="H181" s="22" t="str">
        <x:v>no</x:v>
      </x:c>
    </x:row>
    <x:row r="182" ht="43" customHeight="1">
      <x:c r="A182" s="8" t="n">
        <x:v>177</x:v>
      </x:c>
      <x:c r="B182" s="8" t="str">
        <x:v>l7_code_229_ratio</x:v>
      </x:c>
      <x:c r="C182" s="8" t="str">
        <x:v>L7 ratios</x:v>
      </x:c>
      <x:c r="D182" s="21" t="str">
        <x:v>Category flow count / all bucket flow starts; UNK contains training-unseen codes.</x:v>
      </x:c>
      <x:c r="E182" s="22" t="str">
        <x:v>no</x:v>
      </x:c>
      <x:c r="F182" s="20" t="n">
        <x:v>0.000003550110168983144</x:v>
      </x:c>
      <x:c r="G182" s="20" t="n">
        <x:v>0.0013100515139431014</x:v>
      </x:c>
      <x:c r="H182" s="22" t="str">
        <x:v>no</x:v>
      </x:c>
    </x:row>
    <x:row r="183" ht="43" customHeight="1">
      <x:c r="A183" s="8" t="n">
        <x:v>178</x:v>
      </x:c>
      <x:c r="B183" s="8" t="str">
        <x:v>l7_code_237_ratio</x:v>
      </x:c>
      <x:c r="C183" s="8" t="str">
        <x:v>L7 ratios</x:v>
      </x:c>
      <x:c r="D183" s="21" t="str">
        <x:v>Category flow count / all bucket flow starts; UNK contains training-unseen codes.</x:v>
      </x:c>
      <x:c r="E183" s="22" t="str">
        <x:v>no</x:v>
      </x:c>
      <x:c r="F183" s="20" t="n">
        <x:v>0.000007952006851770078</x:v>
      </x:c>
      <x:c r="G183" s="20" t="n">
        <x:v>0.0023723086144962426</x:v>
      </x:c>
      <x:c r="H183" s="22" t="str">
        <x:v>no</x:v>
      </x:c>
    </x:row>
    <x:row r="184" ht="43" customHeight="1">
      <x:c r="A184" s="8" t="n">
        <x:v>179</x:v>
      </x:c>
      <x:c r="B184" s="8" t="str">
        <x:v>l7_code_243_ratio</x:v>
      </x:c>
      <x:c r="C184" s="8" t="str">
        <x:v>L7 ratios</x:v>
      </x:c>
      <x:c r="D184" s="21" t="str">
        <x:v>Category flow count / all bucket flow starts; UNK contains training-unseen codes.</x:v>
      </x:c>
      <x:c r="E184" s="22" t="str">
        <x:v>no</x:v>
      </x:c>
      <x:c r="F184" s="20" t="n">
        <x:v>0.00005001141581600492</x:v>
      </x:c>
      <x:c r="G184" s="20" t="n">
        <x:v>0.006827769762410546</x:v>
      </x:c>
      <x:c r="H184" s="22" t="str">
        <x:v>no</x:v>
      </x:c>
    </x:row>
    <x:row r="185" ht="43" customHeight="1">
      <x:c r="A185" s="8" t="n">
        <x:v>180</x:v>
      </x:c>
      <x:c r="B185" s="8" t="str">
        <x:v>l7_code_244_ratio</x:v>
      </x:c>
      <x:c r="C185" s="8" t="str">
        <x:v>L7 ratios</x:v>
      </x:c>
      <x:c r="D185" s="21" t="str">
        <x:v>Category flow count / all bucket flow starts; UNK contains training-unseen codes.</x:v>
      </x:c>
      <x:c r="E185" s="22" t="str">
        <x:v>no</x:v>
      </x:c>
      <x:c r="F185" s="20" t="n">
        <x:v>0.00013057324227840728</x:v>
      </x:c>
      <x:c r="G185" s="20" t="n">
        <x:v>0.011244679613480862</x:v>
      </x:c>
      <x:c r="H185" s="22" t="str">
        <x:v>no</x:v>
      </x:c>
    </x:row>
    <x:row r="186" ht="43" customHeight="1">
      <x:c r="A186" s="8" t="n">
        <x:v>181</x:v>
      </x:c>
      <x:c r="B186" s="8" t="str">
        <x:v>l7_code_245_ratio</x:v>
      </x:c>
      <x:c r="C186" s="8" t="str">
        <x:v>L7 ratios</x:v>
      </x:c>
      <x:c r="D186" s="21" t="str">
        <x:v>Category flow count / all bucket flow starts; UNK contains training-unseen codes.</x:v>
      </x:c>
      <x:c r="E186" s="22" t="str">
        <x:v>no</x:v>
      </x:c>
      <x:c r="F186" s="20" t="n">
        <x:v>0.000019252935051219536</x:v>
      </x:c>
      <x:c r="G186" s="20" t="n">
        <x:v>0.004251053595791697</x:v>
      </x:c>
      <x:c r="H186" s="22" t="str">
        <x:v>no</x:v>
      </x:c>
    </x:row>
    <x:row r="187" ht="43" customHeight="1">
      <x:c r="A187" s="8" t="n">
        <x:v>182</x:v>
      </x:c>
      <x:c r="B187" s="8" t="str">
        <x:v>l7_code_248_ratio</x:v>
      </x:c>
      <x:c r="C187" s="8" t="str">
        <x:v>L7 ratios</x:v>
      </x:c>
      <x:c r="D187" s="21" t="str">
        <x:v>Category flow count / all bucket flow starts; UNK contains training-unseen codes.</x:v>
      </x:c>
      <x:c r="E187" s="22" t="str">
        <x:v>no</x:v>
      </x:c>
      <x:c r="F187" s="20" t="n">
        <x:v>0.000017584173376166566</x:v>
      </x:c>
      <x:c r="G187" s="20" t="n">
        <x:v>0.0038341289680176673</x:v>
      </x:c>
      <x:c r="H187" s="22" t="str">
        <x:v>no</x:v>
      </x:c>
    </x:row>
    <x:row r="188" ht="43" customHeight="1">
      <x:c r="A188" s="8" t="n">
        <x:v>183</x:v>
      </x:c>
      <x:c r="B188" s="8" t="str">
        <x:v>l7_code_251_ratio</x:v>
      </x:c>
      <x:c r="C188" s="8" t="str">
        <x:v>L7 ratios</x:v>
      </x:c>
      <x:c r="D188" s="21" t="str">
        <x:v>Category flow count / all bucket flow starts; UNK contains training-unseen codes.</x:v>
      </x:c>
      <x:c r="E188" s="22" t="str">
        <x:v>no</x:v>
      </x:c>
      <x:c r="F188" s="20" t="n">
        <x:v>5.106879323930856e-7</x:v>
      </x:c>
      <x:c r="G188" s="20" t="n">
        <x:v>0.0007146241470807709</x:v>
      </x:c>
      <x:c r="H188" s="22" t="str">
        <x:v>no</x:v>
      </x:c>
    </x:row>
    <x:row r="189" ht="43" customHeight="1">
      <x:c r="A189" s="8" t="n">
        <x:v>184</x:v>
      </x:c>
      <x:c r="B189" s="8" t="str">
        <x:v>l7_code_259_ratio</x:v>
      </x:c>
      <x:c r="C189" s="8" t="str">
        <x:v>L7 ratios</x:v>
      </x:c>
      <x:c r="D189" s="21" t="str">
        <x:v>Category flow count / all bucket flow starts; UNK contains training-unseen codes.</x:v>
      </x:c>
      <x:c r="E189" s="22" t="str">
        <x:v>no</x:v>
      </x:c>
      <x:c r="F189" s="20" t="n">
        <x:v>0.0000477513482181685</x:v>
      </x:c>
      <x:c r="G189" s="20" t="n">
        <x:v>0.006606538202763114</x:v>
      </x:c>
      <x:c r="H189" s="22" t="str">
        <x:v>no</x:v>
      </x:c>
    </x:row>
    <x:row r="190" ht="43" customHeight="1">
      <x:c r="A190" s="8" t="n">
        <x:v>185</x:v>
      </x:c>
      <x:c r="B190" s="8" t="str">
        <x:v>l7_code_260_ratio</x:v>
      </x:c>
      <x:c r="C190" s="8" t="str">
        <x:v>L7 ratios</x:v>
      </x:c>
      <x:c r="D190" s="21" t="str">
        <x:v>Category flow count / all bucket flow starts; UNK contains training-unseen codes.</x:v>
      </x:c>
      <x:c r="E190" s="22" t="str">
        <x:v>no</x:v>
      </x:c>
      <x:c r="F190" s="20" t="n">
        <x:v>0.0000017874077633758422</x:v>
      </x:c>
      <x:c r="G190" s="20" t="n">
        <x:v>0.0012883060915213527</x:v>
      </x:c>
      <x:c r="H190" s="22" t="str">
        <x:v>no</x:v>
      </x:c>
    </x:row>
    <x:row r="191" ht="43" customHeight="1">
      <x:c r="A191" s="8" t="n">
        <x:v>186</x:v>
      </x:c>
      <x:c r="B191" s="8" t="str">
        <x:v>l7_code_264_ratio</x:v>
      </x:c>
      <x:c r="C191" s="8" t="str">
        <x:v>L7 ratios</x:v>
      </x:c>
      <x:c r="D191" s="21" t="str">
        <x:v>Category flow count / all bucket flow starts; UNK contains training-unseen codes.</x:v>
      </x:c>
      <x:c r="E191" s="22" t="str">
        <x:v>no</x:v>
      </x:c>
      <x:c r="F191" s="20" t="n">
        <x:v>0.00006646907989195223</x:v>
      </x:c>
      <x:c r="G191" s="20" t="n">
        <x:v>0.007924884911689255</x:v>
      </x:c>
      <x:c r="H191" s="22" t="str">
        <x:v>no</x:v>
      </x:c>
    </x:row>
    <x:row r="192" ht="43" customHeight="1">
      <x:c r="A192" s="8" t="n">
        <x:v>187</x:v>
      </x:c>
      <x:c r="B192" s="8" t="str">
        <x:v>l7_code_265_ratio</x:v>
      </x:c>
      <x:c r="C192" s="8" t="str">
        <x:v>L7 ratios</x:v>
      </x:c>
      <x:c r="D192" s="21" t="str">
        <x:v>Category flow count / all bucket flow starts; UNK contains training-unseen codes.</x:v>
      </x:c>
      <x:c r="E192" s="22" t="str">
        <x:v>no</x:v>
      </x:c>
      <x:c r="F192" s="20" t="n">
        <x:v>0.000691101998807447</x:v>
      </x:c>
      <x:c r="G192" s="20" t="n">
        <x:v>0.026266801627279988</x:v>
      </x:c>
      <x:c r="H192" s="22" t="str">
        <x:v>no</x:v>
      </x:c>
    </x:row>
    <x:row r="193" ht="43" customHeight="1">
      <x:c r="A193" s="8" t="n">
        <x:v>188</x:v>
      </x:c>
      <x:c r="B193" s="8" t="str">
        <x:v>l7_code_274_ratio</x:v>
      </x:c>
      <x:c r="C193" s="8" t="str">
        <x:v>L7 ratios</x:v>
      </x:c>
      <x:c r="D193" s="21" t="str">
        <x:v>Category flow count / all bucket flow starts; UNK contains training-unseen codes.</x:v>
      </x:c>
      <x:c r="E193" s="22" t="str">
        <x:v>no</x:v>
      </x:c>
      <x:c r="F193" s="20" t="n">
        <x:v>0.00002859852421401351</x:v>
      </x:c>
      <x:c r="G193" s="20" t="n">
        <x:v>0.005347682333350219</x:v>
      </x:c>
      <x:c r="H193" s="22" t="str">
        <x:v>no</x:v>
      </x:c>
    </x:row>
    <x:row r="194" ht="43" customHeight="1">
      <x:c r="A194" s="8" t="n">
        <x:v>189</x:v>
      </x:c>
      <x:c r="B194" s="8" t="str">
        <x:v>l7_code_276_ratio</x:v>
      </x:c>
      <x:c r="C194" s="8" t="str">
        <x:v>L7 ratios</x:v>
      </x:c>
      <x:c r="D194" s="21" t="str">
        <x:v>Category flow count / all bucket flow starts; UNK contains training-unseen codes.</x:v>
      </x:c>
      <x:c r="E194" s="22" t="str">
        <x:v>no</x:v>
      </x:c>
      <x:c r="F194" s="20" t="n">
        <x:v>0.0000122565103774341</x:v>
      </x:c>
      <x:c r="G194" s="20" t="n">
        <x:v>0.003500908475722799</x:v>
      </x:c>
      <x:c r="H194" s="22" t="str">
        <x:v>no</x:v>
      </x:c>
    </x:row>
    <x:row r="195" ht="43" customHeight="1">
      <x:c r="A195" s="8" t="n">
        <x:v>190</x:v>
      </x:c>
      <x:c r="B195" s="8" t="str">
        <x:v>l7_code_278_ratio</x:v>
      </x:c>
      <x:c r="C195" s="8" t="str">
        <x:v>L7 ratios</x:v>
      </x:c>
      <x:c r="D195" s="21" t="str">
        <x:v>Category flow count / all bucket flow starts; UNK contains training-unseen codes.</x:v>
      </x:c>
      <x:c r="E195" s="22" t="str">
        <x:v>no</x:v>
      </x:c>
      <x:c r="F195" s="20" t="n">
        <x:v>0.000047766344609833924</x:v>
      </x:c>
      <x:c r="G195" s="20" t="n">
        <x:v>0.006841259738614292</x:v>
      </x:c>
      <x:c r="H195" s="22" t="str">
        <x:v>no</x:v>
      </x:c>
    </x:row>
    <x:row r="196" ht="43" customHeight="1">
      <x:c r="A196" s="8" t="n">
        <x:v>191</x:v>
      </x:c>
      <x:c r="B196" s="8" t="str">
        <x:v>l7_code_284_ratio</x:v>
      </x:c>
      <x:c r="C196" s="8" t="str">
        <x:v>L7 ratios</x:v>
      </x:c>
      <x:c r="D196" s="21" t="str">
        <x:v>Category flow count / all bucket flow starts; UNK contains training-unseen codes.</x:v>
      </x:c>
      <x:c r="E196" s="22" t="str">
        <x:v>no</x:v>
      </x:c>
      <x:c r="F196" s="20" t="n">
        <x:v>0.00005847376825900888</x:v>
      </x:c>
      <x:c r="G196" s="20" t="n">
        <x:v>0.007638237826510485</x:v>
      </x:c>
      <x:c r="H196" s="22" t="str">
        <x:v>no</x:v>
      </x:c>
    </x:row>
    <x:row r="197" ht="43" customHeight="1">
      <x:c r="A197" s="8" t="n">
        <x:v>192</x:v>
      </x:c>
      <x:c r="B197" s="8" t="str">
        <x:v>l7_code_285_ratio</x:v>
      </x:c>
      <x:c r="C197" s="8" t="str">
        <x:v>L7 ratios</x:v>
      </x:c>
      <x:c r="D197" s="21" t="str">
        <x:v>Category flow count / all bucket flow starts; UNK contains training-unseen codes.</x:v>
      </x:c>
      <x:c r="E197" s="22" t="str">
        <x:v>no</x:v>
      </x:c>
      <x:c r="F197" s="20" t="n">
        <x:v>0.000021704237126705855</x:v>
      </x:c>
      <x:c r="G197" s="20" t="n">
        <x:v>0.004645007434837761</x:v>
      </x:c>
      <x:c r="H197" s="22" t="str">
        <x:v>no</x:v>
      </x:c>
    </x:row>
    <x:row r="198" ht="43" customHeight="1">
      <x:c r="A198" s="8" t="n">
        <x:v>193</x:v>
      </x:c>
      <x:c r="B198" s="8" t="str">
        <x:v>l7_code_294_ratio</x:v>
      </x:c>
      <x:c r="C198" s="8" t="str">
        <x:v>L7 ratios</x:v>
      </x:c>
      <x:c r="D198" s="21" t="str">
        <x:v>Category flow count / all bucket flow starts; UNK contains training-unseen codes.</x:v>
      </x:c>
      <x:c r="E198" s="22" t="str">
        <x:v>no</x:v>
      </x:c>
      <x:c r="F198" s="20" t="n">
        <x:v>5.106879323930857e-7</x:v>
      </x:c>
      <x:c r="G198" s="20" t="n">
        <x:v>0.0007146241470807727</x:v>
      </x:c>
      <x:c r="H198" s="22" t="str">
        <x:v>no</x:v>
      </x:c>
    </x:row>
    <x:row r="199" ht="43" customHeight="1">
      <x:c r="A199" s="8" t="n">
        <x:v>194</x:v>
      </x:c>
      <x:c r="B199" s="8" t="str">
        <x:v>l7_code_308_ratio</x:v>
      </x:c>
      <x:c r="C199" s="8" t="str">
        <x:v>L7 ratios</x:v>
      </x:c>
      <x:c r="D199" s="21" t="str">
        <x:v>Category flow count / all bucket flow starts; UNK contains training-unseen codes.</x:v>
      </x:c>
      <x:c r="E199" s="22" t="str">
        <x:v>no</x:v>
      </x:c>
      <x:c r="F199" s="20" t="n">
        <x:v>0.0000016133770150811701</x:v>
      </x:c>
      <x:c r="G199" s="20" t="n">
        <x:v>0.0007501680772713345</x:v>
      </x:c>
      <x:c r="H199" s="22" t="str">
        <x:v>no</x:v>
      </x:c>
    </x:row>
    <x:row r="200" ht="43" customHeight="1">
      <x:c r="A200" s="8" t="n">
        <x:v>195</x:v>
      </x:c>
      <x:c r="B200" s="8" t="str">
        <x:v>l7_code_312_ratio</x:v>
      </x:c>
      <x:c r="C200" s="8" t="str">
        <x:v>L7 ratios</x:v>
      </x:c>
      <x:c r="D200" s="21" t="str">
        <x:v>Category flow count / all bucket flow starts; UNK contains training-unseen codes.</x:v>
      </x:c>
      <x:c r="E200" s="22" t="str">
        <x:v>no</x:v>
      </x:c>
      <x:c r="F200" s="20" t="n">
        <x:v>0.000019916829363329956</x:v>
      </x:c>
      <x:c r="G200" s="20" t="n">
        <x:v>0.004462783064774576</x:v>
      </x:c>
      <x:c r="H200" s="22" t="str">
        <x:v>no</x:v>
      </x:c>
    </x:row>
    <x:row r="201" ht="43" customHeight="1">
      <x:c r="A201" s="8" t="n">
        <x:v>196</x:v>
      </x:c>
      <x:c r="B201" s="8" t="str">
        <x:v>l7_code_329_ratio</x:v>
      </x:c>
      <x:c r="C201" s="8" t="str">
        <x:v>L7 ratios</x:v>
      </x:c>
      <x:c r="D201" s="21" t="str">
        <x:v>Category flow count / all bucket flow starts; UNK contains training-unseen codes.</x:v>
      </x:c>
      <x:c r="E201" s="22" t="str">
        <x:v>no</x:v>
      </x:c>
      <x:c r="F201" s="20" t="n">
        <x:v>0.000049287059786291875</x:v>
      </x:c>
      <x:c r="G201" s="20" t="n">
        <x:v>0.006778112460961823</x:v>
      </x:c>
      <x:c r="H201" s="22" t="str">
        <x:v>no</x:v>
      </x:c>
    </x:row>
    <x:row r="202" ht="43" customHeight="1">
      <x:c r="A202" s="8" t="n">
        <x:v>197</x:v>
      </x:c>
      <x:c r="B202" s="8" t="str">
        <x:v>l7_code_331_ratio</x:v>
      </x:c>
      <x:c r="C202" s="8" t="str">
        <x:v>L7 ratios</x:v>
      </x:c>
      <x:c r="D202" s="21" t="str">
        <x:v>Category flow count / all bucket flow starts; UNK contains training-unseen codes.</x:v>
      </x:c>
      <x:c r="E202" s="22" t="str">
        <x:v>no</x:v>
      </x:c>
      <x:c r="F202" s="20" t="n">
        <x:v>1.9403036945026098e-10</x:v>
      </x:c>
      <x:c r="G202" s="20" t="n">
        <x:v>2.7151373369331035e-7</x:v>
      </x:c>
      <x:c r="H202" s="22" t="str">
        <x:v>no</x:v>
      </x:c>
    </x:row>
    <x:row r="203" ht="43" customHeight="1">
      <x:c r="A203" s="8" t="n">
        <x:v>198</x:v>
      </x:c>
      <x:c r="B203" s="8" t="str">
        <x:v>l7_code_332_ratio</x:v>
      </x:c>
      <x:c r="C203" s="8" t="str">
        <x:v>L7 ratios</x:v>
      </x:c>
      <x:c r="D203" s="21" t="str">
        <x:v>Category flow count / all bucket flow starts; UNK contains training-unseen codes.</x:v>
      </x:c>
      <x:c r="E203" s="22" t="str">
        <x:v>no</x:v>
      </x:c>
      <x:c r="F203" s="20" t="n">
        <x:v>0.00016974115310593592</x:v>
      </x:c>
      <x:c r="G203" s="20" t="n">
        <x:v>0.012232849756098185</x:v>
      </x:c>
      <x:c r="H203" s="22" t="str">
        <x:v>no</x:v>
      </x:c>
    </x:row>
    <x:row r="204" ht="43" customHeight="1">
      <x:c r="A204" s="8" t="n">
        <x:v>199</x:v>
      </x:c>
      <x:c r="B204" s="8" t="str">
        <x:v>l7_code_333_ratio</x:v>
      </x:c>
      <x:c r="C204" s="8" t="str">
        <x:v>L7 ratios</x:v>
      </x:c>
      <x:c r="D204" s="21" t="str">
        <x:v>Category flow count / all bucket flow starts; UNK contains training-unseen codes.</x:v>
      </x:c>
      <x:c r="E204" s="22" t="str">
        <x:v>no</x:v>
      </x:c>
      <x:c r="F204" s="20" t="n">
        <x:v>0.0000773692217575536</x:v>
      </x:c>
      <x:c r="G204" s="20" t="n">
        <x:v>0.008773837234174265</x:v>
      </x:c>
      <x:c r="H204" s="22" t="str">
        <x:v>no</x:v>
      </x:c>
    </x:row>
    <x:row r="205" ht="43" customHeight="1">
      <x:c r="A205" s="8" t="n">
        <x:v>200</x:v>
      </x:c>
      <x:c r="B205" s="8" t="str">
        <x:v>l7_code_334_ratio</x:v>
      </x:c>
      <x:c r="C205" s="8" t="str">
        <x:v>L7 ratios</x:v>
      </x:c>
      <x:c r="D205" s="21" t="str">
        <x:v>Category flow count / all bucket flow starts; UNK contains training-unseen codes.</x:v>
      </x:c>
      <x:c r="E205" s="22" t="str">
        <x:v>no</x:v>
      </x:c>
      <x:c r="F205" s="20" t="n">
        <x:v>0.00014699300987381324</x:v>
      </x:c>
      <x:c r="G205" s="20" t="n">
        <x:v>0.012113226025240481</x:v>
      </x:c>
      <x:c r="H205" s="22" t="str">
        <x:v>no</x:v>
      </x:c>
    </x:row>
    <x:row r="206" ht="43" customHeight="1">
      <x:c r="A206" s="8" t="n">
        <x:v>201</x:v>
      </x:c>
      <x:c r="B206" s="8" t="str">
        <x:v>l7_code_335_ratio</x:v>
      </x:c>
      <x:c r="C206" s="8" t="str">
        <x:v>L7 ratios</x:v>
      </x:c>
      <x:c r="D206" s="21" t="str">
        <x:v>Category flow count / all bucket flow starts; UNK contains training-unseen codes.</x:v>
      </x:c>
      <x:c r="E206" s="22" t="str">
        <x:v>no</x:v>
      </x:c>
      <x:c r="F206" s="20" t="n">
        <x:v>0.0000030641275943585363</x:v>
      </x:c>
      <x:c r="G206" s="20" t="n">
        <x:v>0.0017504622833642144</x:v>
      </x:c>
      <x:c r="H206" s="22" t="str">
        <x:v>no</x:v>
      </x:c>
    </x:row>
    <x:row r="207" ht="43" customHeight="1">
      <x:c r="A207" s="8" t="n">
        <x:v>202</x:v>
      </x:c>
      <x:c r="B207" s="8" t="str">
        <x:v>l7_code_343_ratio</x:v>
      </x:c>
      <x:c r="C207" s="8" t="str">
        <x:v>L7 ratios</x:v>
      </x:c>
      <x:c r="D207" s="21" t="str">
        <x:v>Category flow count / all bucket flow starts; UNK contains training-unseen codes.</x:v>
      </x:c>
      <x:c r="E207" s="22" t="str">
        <x:v>no</x:v>
      </x:c>
      <x:c r="F207" s="20" t="n">
        <x:v>0.000042855542885975787</x:v>
      </x:c>
      <x:c r="G207" s="20" t="n">
        <x:v>0.006411348063474998</x:v>
      </x:c>
      <x:c r="H207" s="22" t="str">
        <x:v>no</x:v>
      </x:c>
    </x:row>
    <x:row r="208" ht="43" customHeight="1">
      <x:c r="A208" s="8" t="n">
        <x:v>203</x:v>
      </x:c>
      <x:c r="B208" s="8" t="str">
        <x:v>l7_code_347_ratio</x:v>
      </x:c>
      <x:c r="C208" s="8" t="str">
        <x:v>L7 ratios</x:v>
      </x:c>
      <x:c r="D208" s="21" t="str">
        <x:v>Category flow count / all bucket flow starts; UNK contains training-unseen codes.</x:v>
      </x:c>
      <x:c r="E208" s="22" t="str">
        <x:v>no</x:v>
      </x:c>
      <x:c r="F208" s="20" t="n">
        <x:v>4.952824806182452e-8</x:v>
      </x:c>
      <x:c r="G208" s="20" t="n">
        <x:v>0.000014250082568968636</x:v>
      </x:c>
      <x:c r="H208" s="22" t="str">
        <x:v>no</x:v>
      </x:c>
    </x:row>
    <x:row r="209" ht="43" customHeight="1">
      <x:c r="A209" s="8" t="n">
        <x:v>204</x:v>
      </x:c>
      <x:c r="B209" s="8" t="str">
        <x:v>l7_code_351_ratio</x:v>
      </x:c>
      <x:c r="C209" s="8" t="str">
        <x:v>L7 ratios</x:v>
      </x:c>
      <x:c r="D209" s="21" t="str">
        <x:v>Category flow count / all bucket flow starts; UNK contains training-unseen codes.</x:v>
      </x:c>
      <x:c r="E209" s="22" t="str">
        <x:v>no</x:v>
      </x:c>
      <x:c r="F209" s="20" t="n">
        <x:v>0.000011745822445041065</x:v>
      </x:c>
      <x:c r="G209" s="20" t="n">
        <x:v>0.0034271977592045056</x:v>
      </x:c>
      <x:c r="H209" s="22" t="str">
        <x:v>no</x:v>
      </x:c>
    </x:row>
    <x:row r="210" ht="43" customHeight="1">
      <x:c r="A210" s="8" t="n">
        <x:v>205</x:v>
      </x:c>
      <x:c r="B210" s="8" t="str">
        <x:v>l7_code_354_ratio</x:v>
      </x:c>
      <x:c r="C210" s="8" t="str">
        <x:v>L7 ratios</x:v>
      </x:c>
      <x:c r="D210" s="21" t="str">
        <x:v>Category flow count / all bucket flow starts; UNK contains training-unseen codes.</x:v>
      </x:c>
      <x:c r="E210" s="22" t="str">
        <x:v>no</x:v>
      </x:c>
      <x:c r="F210" s="20" t="n">
        <x:v>0.0005234721536339949</x:v>
      </x:c>
      <x:c r="G210" s="20" t="n">
        <x:v>0.022841482161167725</x:v>
      </x:c>
      <x:c r="H210" s="22" t="str">
        <x:v>no</x:v>
      </x:c>
    </x:row>
    <x:row r="211" ht="43" customHeight="1">
      <x:c r="A211" s="8" t="n">
        <x:v>206</x:v>
      </x:c>
      <x:c r="B211" s="8" t="str">
        <x:v>l7_code_359_ratio</x:v>
      </x:c>
      <x:c r="C211" s="8" t="str">
        <x:v>L7 ratios</x:v>
      </x:c>
      <x:c r="D211" s="21" t="str">
        <x:v>Category flow count / all bucket flow starts; UNK contains training-unseen codes.</x:v>
      </x:c>
      <x:c r="E211" s="22" t="str">
        <x:v>no</x:v>
      </x:c>
      <x:c r="F211" s="20" t="n">
        <x:v>1.9403036945026098e-10</x:v>
      </x:c>
      <x:c r="G211" s="20" t="n">
        <x:v>2.7151373369331035e-7</x:v>
      </x:c>
      <x:c r="H211" s="22" t="str">
        <x:v>no</x:v>
      </x:c>
    </x:row>
    <x:row r="212" ht="43" customHeight="1">
      <x:c r="A212" s="8" t="n">
        <x:v>207</x:v>
      </x:c>
      <x:c r="B212" s="8" t="str">
        <x:v>l7_code_360_ratio</x:v>
      </x:c>
      <x:c r="C212" s="8" t="str">
        <x:v>L7 ratios</x:v>
      </x:c>
      <x:c r="D212" s="21" t="str">
        <x:v>Category flow count / all bucket flow starts; UNK contains training-unseen codes.</x:v>
      </x:c>
      <x:c r="E212" s="22" t="str">
        <x:v>no</x:v>
      </x:c>
      <x:c r="F212" s="20" t="n">
        <x:v>0.00001003137010057846</x:v>
      </x:c>
      <x:c r="G212" s="20" t="n">
        <x:v>0.0030300867468674567</x:v>
      </x:c>
      <x:c r="H212" s="22" t="str">
        <x:v>no</x:v>
      </x:c>
    </x:row>
    <x:row r="213" ht="43" customHeight="1">
      <x:c r="A213" s="8" t="n">
        <x:v>208</x:v>
      </x:c>
      <x:c r="B213" s="8" t="str">
        <x:v>l7_code_362_ratio</x:v>
      </x:c>
      <x:c r="C213" s="8" t="str">
        <x:v>L7 ratios</x:v>
      </x:c>
      <x:c r="D213" s="21" t="str">
        <x:v>Category flow count / all bucket flow starts; UNK contains training-unseen codes.</x:v>
      </x:c>
      <x:c r="E213" s="22" t="str">
        <x:v>no</x:v>
      </x:c>
      <x:c r="F213" s="20" t="n">
        <x:v>0.000039518878763812575</x:v>
      </x:c>
      <x:c r="G213" s="20" t="n">
        <x:v>0.006180617146943984</x:v>
      </x:c>
      <x:c r="H213" s="22" t="str">
        <x:v>no</x:v>
      </x:c>
    </x:row>
    <x:row r="214" ht="43" customHeight="1">
      <x:c r="A214" s="8" t="n">
        <x:v>209</x:v>
      </x:c>
      <x:c r="B214" s="8" t="str">
        <x:v>l7_code_363_ratio</x:v>
      </x:c>
      <x:c r="C214" s="8" t="str">
        <x:v>L7 ratios</x:v>
      </x:c>
      <x:c r="D214" s="21" t="str">
        <x:v>Category flow count / all bucket flow starts; UNK contains training-unseen codes.</x:v>
      </x:c>
      <x:c r="E214" s="22" t="str">
        <x:v>no</x:v>
      </x:c>
      <x:c r="F214" s="20" t="n">
        <x:v>1.9403036945026098e-10</x:v>
      </x:c>
      <x:c r="G214" s="20" t="n">
        <x:v>2.7151373369331035e-7</x:v>
      </x:c>
      <x:c r="H214" s="22" t="str">
        <x:v>no</x:v>
      </x:c>
    </x:row>
    <x:row r="215" ht="43" customHeight="1">
      <x:c r="A215" s="8" t="n">
        <x:v>210</x:v>
      </x:c>
      <x:c r="B215" s="8" t="str">
        <x:v>l7_code_365_ratio</x:v>
      </x:c>
      <x:c r="C215" s="8" t="str">
        <x:v>L7 ratios</x:v>
      </x:c>
      <x:c r="D215" s="21" t="str">
        <x:v>Category flow count / all bucket flow starts; UNK contains training-unseen codes.</x:v>
      </x:c>
      <x:c r="E215" s="22" t="str">
        <x:v>no</x:v>
      </x:c>
      <x:c r="F215" s="20" t="n">
        <x:v>0.0000011581672752486285</x:v>
      </x:c>
      <x:c r="G215" s="20" t="n">
        <x:v>0.0006663134677374941</x:v>
      </x:c>
      <x:c r="H215" s="22" t="str">
        <x:v>no</x:v>
      </x:c>
    </x:row>
    <x:row r="216" ht="43" customHeight="1">
      <x:c r="A216" s="8" t="n">
        <x:v>211</x:v>
      </x:c>
      <x:c r="B216" s="8" t="str">
        <x:v>l7_code_367_ratio</x:v>
      </x:c>
      <x:c r="C216" s="8" t="str">
        <x:v>L7 ratios</x:v>
      </x:c>
      <x:c r="D216" s="21" t="str">
        <x:v>Category flow count / all bucket flow starts; UNK contains training-unseen codes.</x:v>
      </x:c>
      <x:c r="E216" s="22" t="str">
        <x:v>no</x:v>
      </x:c>
      <x:c r="F216" s="20" t="n">
        <x:v>0.000001000291231305944</x:v>
      </x:c>
      <x:c r="G216" s="20" t="n">
        <x:v>0.0006021818409550754</x:v>
      </x:c>
      <x:c r="H216" s="22" t="str">
        <x:v>no</x:v>
      </x:c>
    </x:row>
    <x:row r="217" ht="43" customHeight="1">
      <x:c r="A217" s="8" t="n">
        <x:v>212</x:v>
      </x:c>
      <x:c r="B217" s="8" t="str">
        <x:v>l7_code_370_ratio</x:v>
      </x:c>
      <x:c r="C217" s="8" t="str">
        <x:v>L7 ratios</x:v>
      </x:c>
      <x:c r="D217" s="21" t="str">
        <x:v>Category flow count / all bucket flow starts; UNK contains training-unseen codes.</x:v>
      </x:c>
      <x:c r="E217" s="22" t="str">
        <x:v>no</x:v>
      </x:c>
      <x:c r="F217" s="20" t="n">
        <x:v>0.00030742827929860567</x:v>
      </x:c>
      <x:c r="G217" s="20" t="n">
        <x:v>0.016871530109666362</x:v>
      </x:c>
      <x:c r="H217" s="22" t="str">
        <x:v>no</x:v>
      </x:c>
    </x:row>
    <x:row r="218" ht="43" customHeight="1">
      <x:c r="A218" s="8" t="n">
        <x:v>213</x:v>
      </x:c>
      <x:c r="B218" s="8" t="str">
        <x:v>l7_code_372_ratio</x:v>
      </x:c>
      <x:c r="C218" s="8" t="str">
        <x:v>L7 ratios</x:v>
      </x:c>
      <x:c r="D218" s="21" t="str">
        <x:v>Category flow count / all bucket flow starts; UNK contains training-unseen codes.</x:v>
      </x:c>
      <x:c r="E218" s="22" t="str">
        <x:v>no</x:v>
      </x:c>
      <x:c r="F218" s="20" t="n">
        <x:v>0.000019959386691029684</x:v>
      </x:c>
      <x:c r="G218" s="20" t="n">
        <x:v>0.004083066831333092</x:v>
      </x:c>
      <x:c r="H218" s="22" t="str">
        <x:v>no</x:v>
      </x:c>
    </x:row>
    <x:row r="219" ht="43" customHeight="1">
      <x:c r="A219" s="8" t="n">
        <x:v>214</x:v>
      </x:c>
      <x:c r="B219" s="8" t="str">
        <x:v>l7_code_374_ratio</x:v>
      </x:c>
      <x:c r="C219" s="8" t="str">
        <x:v>L7 ratios</x:v>
      </x:c>
      <x:c r="D219" s="21" t="str">
        <x:v>Category flow count / all bucket flow starts; UNK contains training-unseen codes.</x:v>
      </x:c>
      <x:c r="E219" s="22" t="str">
        <x:v>no</x:v>
      </x:c>
      <x:c r="F219" s="20" t="n">
        <x:v>0.000001929265522373885</x:v>
      </x:c>
      <x:c r="G219" s="20" t="n">
        <x:v>0.0011544137533204535</x:v>
      </x:c>
      <x:c r="H219" s="22" t="str">
        <x:v>no</x:v>
      </x:c>
    </x:row>
    <x:row r="220" ht="43" customHeight="1">
      <x:c r="A220" s="8" t="n">
        <x:v>215</x:v>
      </x:c>
      <x:c r="B220" s="8" t="str">
        <x:v>l7_code_377_ratio</x:v>
      </x:c>
      <x:c r="C220" s="8" t="str">
        <x:v>L7 ratios</x:v>
      </x:c>
      <x:c r="D220" s="21" t="str">
        <x:v>Category flow count / all bucket flow starts; UNK contains training-unseen codes.</x:v>
      </x:c>
      <x:c r="E220" s="22" t="str">
        <x:v>no</x:v>
      </x:c>
      <x:c r="F220" s="20" t="n">
        <x:v>0.00001514615292822553</x:v>
      </x:c>
      <x:c r="G220" s="20" t="n">
        <x:v>0.0036623021682760646</x:v>
      </x:c>
      <x:c r="H220" s="22" t="str">
        <x:v>no</x:v>
      </x:c>
    </x:row>
    <x:row r="221" ht="43" customHeight="1">
      <x:c r="A221" s="8" t="n">
        <x:v>216</x:v>
      </x:c>
      <x:c r="B221" s="8" t="str">
        <x:v>l7_code_378_ratio</x:v>
      </x:c>
      <x:c r="C221" s="8" t="str">
        <x:v>L7 ratios</x:v>
      </x:c>
      <x:c r="D221" s="21" t="str">
        <x:v>Category flow count / all bucket flow starts; UNK contains training-unseen codes.</x:v>
      </x:c>
      <x:c r="E221" s="22" t="str">
        <x:v>no</x:v>
      </x:c>
      <x:c r="F221" s="20" t="n">
        <x:v>0.00006293971026011602</x:v>
      </x:c>
      <x:c r="G221" s="20" t="n">
        <x:v>0.007619191733974006</x:v>
      </x:c>
      <x:c r="H221" s="22" t="str">
        <x:v>no</x:v>
      </x:c>
    </x:row>
    <x:row r="222" ht="43" customHeight="1">
      <x:c r="A222" s="8" t="n">
        <x:v>217</x:v>
      </x:c>
      <x:c r="B222" s="8" t="str">
        <x:v>l7_code_379_ratio</x:v>
      </x:c>
      <x:c r="C222" s="8" t="str">
        <x:v>L7 ratios</x:v>
      </x:c>
      <x:c r="D222" s="21" t="str">
        <x:v>Category flow count / all bucket flow starts; UNK contains training-unseen codes.</x:v>
      </x:c>
      <x:c r="E222" s="22" t="str">
        <x:v>no</x:v>
      </x:c>
      <x:c r="F222" s="20" t="n">
        <x:v>8.744517572524335e-7</x:v>
      </x:c>
      <x:c r="G222" s="20" t="n">
        <x:v>0.0005016753339216438</x:v>
      </x:c>
      <x:c r="H222" s="22" t="str">
        <x:v>no</x:v>
      </x:c>
    </x:row>
    <x:row r="223" ht="43" customHeight="1">
      <x:c r="A223" s="8" t="n">
        <x:v>218</x:v>
      </x:c>
      <x:c r="B223" s="8" t="str">
        <x:v>l7_code_380_ratio</x:v>
      </x:c>
      <x:c r="C223" s="8" t="str">
        <x:v>L7 ratios</x:v>
      </x:c>
      <x:c r="D223" s="21" t="str">
        <x:v>Category flow count / all bucket flow starts; UNK contains training-unseen codes.</x:v>
      </x:c>
      <x:c r="E223" s="22" t="str">
        <x:v>no</x:v>
      </x:c>
      <x:c r="F223" s="20" t="n">
        <x:v>0.000003889739751727412</x:v>
      </x:c>
      <x:c r="G223" s="20" t="n">
        <x:v>0.0016872842781396104</x:v>
      </x:c>
      <x:c r="H223" s="22" t="str">
        <x:v>no</x:v>
      </x:c>
    </x:row>
    <x:row r="224" ht="43" customHeight="1">
      <x:c r="A224" s="8" t="n">
        <x:v>219</x:v>
      </x:c>
      <x:c r="B224" s="8" t="str">
        <x:v>l7_code_381_ratio</x:v>
      </x:c>
      <x:c r="C224" s="8" t="str">
        <x:v>L7 ratios</x:v>
      </x:c>
      <x:c r="D224" s="21" t="str">
        <x:v>Category flow count / all bucket flow starts; UNK contains training-unseen codes.</x:v>
      </x:c>
      <x:c r="E224" s="22" t="str">
        <x:v>no</x:v>
      </x:c>
      <x:c r="F224" s="20" t="n">
        <x:v>0.000055874486231650145</x:v>
      </x:c>
      <x:c r="G224" s="20" t="n">
        <x:v>0.0065981584719513745</x:v>
      </x:c>
      <x:c r="H224" s="22" t="str">
        <x:v>no</x:v>
      </x:c>
    </x:row>
    <x:row r="225" ht="43" customHeight="1">
      <x:c r="A225" s="8" t="n">
        <x:v>220</x:v>
      </x:c>
      <x:c r="B225" s="8" t="str">
        <x:v>l7_code_383_ratio</x:v>
      </x:c>
      <x:c r="C225" s="8" t="str">
        <x:v>L7 ratios</x:v>
      </x:c>
      <x:c r="D225" s="21" t="str">
        <x:v>Category flow count / all bucket flow starts; UNK contains training-unseen codes.</x:v>
      </x:c>
      <x:c r="E225" s="22" t="str">
        <x:v>no</x:v>
      </x:c>
      <x:c r="F225" s="20" t="n">
        <x:v>0.000037312756285581894</x:v>
      </x:c>
      <x:c r="G225" s="20" t="n">
        <x:v>0.005822764154577009</x:v>
      </x:c>
      <x:c r="H225" s="22" t="str">
        <x:v>no</x:v>
      </x:c>
    </x:row>
    <x:row r="226" ht="43" customHeight="1">
      <x:c r="A226" s="8" t="n">
        <x:v>221</x:v>
      </x:c>
      <x:c r="B226" s="8" t="str">
        <x:v>l7_code_390_ratio</x:v>
      </x:c>
      <x:c r="C226" s="8" t="str">
        <x:v>L7 ratios</x:v>
      </x:c>
      <x:c r="D226" s="21" t="str">
        <x:v>Category flow count / all bucket flow starts; UNK contains training-unseen codes.</x:v>
      </x:c>
      <x:c r="E226" s="22" t="str">
        <x:v>no</x:v>
      </x:c>
      <x:c r="F226" s="20" t="n">
        <x:v>0.000002553439661965368</x:v>
      </x:c>
      <x:c r="G226" s="20" t="n">
        <x:v>0.0015979465391280881</x:v>
      </x:c>
      <x:c r="H226" s="22" t="str">
        <x:v>no</x:v>
      </x:c>
    </x:row>
    <x:row r="227" ht="43" customHeight="1">
      <x:c r="A227" s="8" t="n">
        <x:v>222</x:v>
      </x:c>
      <x:c r="B227" s="8" t="str">
        <x:v>l7_code_391_ratio</x:v>
      </x:c>
      <x:c r="C227" s="8" t="str">
        <x:v>L7 ratios</x:v>
      </x:c>
      <x:c r="D227" s="21" t="str">
        <x:v>Category flow count / all bucket flow starts; UNK contains training-unseen codes.</x:v>
      </x:c>
      <x:c r="E227" s="22" t="str">
        <x:v>no</x:v>
      </x:c>
      <x:c r="F227" s="20" t="n">
        <x:v>0.00006545565071722953</x:v>
      </x:c>
      <x:c r="G227" s="20" t="n">
        <x:v>0.00652591401046563</x:v>
      </x:c>
      <x:c r="H227" s="22" t="str">
        <x:v>no</x:v>
      </x:c>
    </x:row>
    <x:row r="228" ht="43" customHeight="1">
      <x:c r="A228" s="8" t="n">
        <x:v>223</x:v>
      </x:c>
      <x:c r="B228" s="8" t="str">
        <x:v>l7_code_393_ratio</x:v>
      </x:c>
      <x:c r="C228" s="8" t="str">
        <x:v>L7 ratios</x:v>
      </x:c>
      <x:c r="D228" s="21" t="str">
        <x:v>Category flow count / all bucket flow starts; UNK contains training-unseen codes.</x:v>
      </x:c>
      <x:c r="E228" s="22" t="str">
        <x:v>no</x:v>
      </x:c>
      <x:c r="F228" s="20" t="n">
        <x:v>0.000013788574174613299</x:v>
      </x:c>
      <x:c r="G228" s="20" t="n">
        <x:v>0.0037132713407231166</x:v>
      </x:c>
      <x:c r="H228" s="22" t="str">
        <x:v>no</x:v>
      </x:c>
    </x:row>
    <x:row r="229" ht="43" customHeight="1">
      <x:c r="A229" s="8" t="n">
        <x:v>224</x:v>
      </x:c>
      <x:c r="B229" s="8" t="str">
        <x:v>l7_code_394_ratio</x:v>
      </x:c>
      <x:c r="C229" s="8" t="str">
        <x:v>L7 ratios</x:v>
      </x:c>
      <x:c r="D229" s="21" t="str">
        <x:v>Category flow count / all bucket flow starts; UNK contains training-unseen codes.</x:v>
      </x:c>
      <x:c r="E229" s="22" t="str">
        <x:v>no</x:v>
      </x:c>
      <x:c r="F229" s="20" t="n">
        <x:v>0.000015482355817050782</x:v>
      </x:c>
      <x:c r="G229" s="20" t="n">
        <x:v>0.0037647303451155277</x:v>
      </x:c>
      <x:c r="H229" s="22" t="str">
        <x:v>no</x:v>
      </x:c>
    </x:row>
    <x:row r="230" ht="43" customHeight="1">
      <x:c r="A230" s="8" t="n">
        <x:v>225</x:v>
      </x:c>
      <x:c r="B230" s="8" t="str">
        <x:v>l7_code_397_ratio</x:v>
      </x:c>
      <x:c r="C230" s="8" t="str">
        <x:v>L7 ratios</x:v>
      </x:c>
      <x:c r="D230" s="21" t="str">
        <x:v>Category flow count / all bucket flow starts; UNK contains training-unseen codes.</x:v>
      </x:c>
      <x:c r="E230" s="22" t="str">
        <x:v>no</x:v>
      </x:c>
      <x:c r="F230" s="20" t="n">
        <x:v>0.0000012653712102628281</x:v>
      </x:c>
      <x:c r="G230" s="20" t="n">
        <x:v>0.0006830005551346929</x:v>
      </x:c>
      <x:c r="H230" s="22" t="str">
        <x:v>no</x:v>
      </x:c>
    </x:row>
    <x:row r="231" ht="43" customHeight="1">
      <x:c r="A231" s="8" t="n">
        <x:v>226</x:v>
      </x:c>
      <x:c r="B231" s="8" t="str">
        <x:v>l7_code_401_ratio</x:v>
      </x:c>
      <x:c r="C231" s="8" t="str">
        <x:v>L7 ratios</x:v>
      </x:c>
      <x:c r="D231" s="21" t="str">
        <x:v>Category flow count / all bucket flow starts; UNK contains training-unseen codes.</x:v>
      </x:c>
      <x:c r="E231" s="22" t="str">
        <x:v>no</x:v>
      </x:c>
      <x:c r="F231" s="20" t="n">
        <x:v>1.7022931079769526e-7</x:v>
      </x:c>
      <x:c r="G231" s="20" t="n">
        <x:v>0.00023820804902692776</x:v>
      </x:c>
      <x:c r="H231" s="22" t="str">
        <x:v>no</x:v>
      </x:c>
    </x:row>
    <x:row r="232" ht="43" customHeight="1">
      <x:c r="A232" s="8" t="n">
        <x:v>227</x:v>
      </x:c>
      <x:c r="B232" s="8" t="str">
        <x:v>l7_UNK_ratio</x:v>
      </x:c>
      <x:c r="C232" s="8" t="str">
        <x:v>L7 ratios</x:v>
      </x:c>
      <x:c r="D232" s="21" t="str">
        <x:v>Category flow count / all bucket flow starts; UNK contains training-unseen codes.</x:v>
      </x:c>
      <x:c r="E232" s="22" t="str">
        <x:v>no</x:v>
      </x:c>
      <x:c r="F232" s="20" t="n">
        <x:v>0</x:v>
      </x:c>
      <x:c r="G232" s="20" t="n">
        <x:v>1</x:v>
      </x:c>
      <x:c r="H232" s="2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3589ec5ccc2f44e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55" hidden="0" customWidth="1"/>
    <x:col min="2" max="2" width="80" hidden="0" customWidth="1"/>
    <x:col min="3" max="3" width="80" hidden="0" customWidth="1"/>
    <x:col min="4" max="4" width="14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Final data reconciliation</x:v>
      </x:c>
      <x:c r="B2" s="2"/>
      <x:c r="C2" s="2"/>
      <x:c r="D2" s="2"/>
    </x:row>
    <x:row r="3" ht="24" customHeight="1">
      <x:c r="A3" s="2"/>
      <x:c r="B3" s="2"/>
      <x:c r="C3" s="2"/>
      <x:c r="D3" s="2"/>
    </x:row>
    <x:row r="4" ht="44" customHeight="1">
      <x:c r="A4" s="7" t="str">
        <x:v>Check</x:v>
      </x:c>
      <x:c r="B4" s="7" t="str">
        <x:v>Expected</x:v>
      </x:c>
      <x:c r="C4" s="7" t="str">
        <x:v>Observed</x:v>
      </x:c>
      <x:c r="D4" s="7" t="str">
        <x:v>Passed</x:v>
      </x:c>
    </x:row>
    <x:row r="5" ht="49" customHeight="1">
      <x:c r="A5" s="8" t="str">
        <x:v>Final train N+2P</x:v>
      </x:c>
      <x:c r="B5" s="21" t="n">
        <x:v>781838</x:v>
      </x:c>
      <x:c r="C5" s="21" t="n">
        <x:v>781838</x:v>
      </x:c>
      <x:c r="D5" s="22" t="str">
        <x:v>yes</x:v>
      </x:c>
    </x:row>
    <x:row r="6" ht="49" customHeight="1">
      <x:c r="A6" s="8" t="str">
        <x:v>Final train positive 2P</x:v>
      </x:c>
      <x:c r="B6" s="21" t="n">
        <x:v>16186</x:v>
      </x:c>
      <x:c r="C6" s="21" t="n">
        <x:v>16186</x:v>
      </x:c>
      <x:c r="D6" s="22" t="str">
        <x:v>yes</x:v>
      </x:c>
    </x:row>
    <x:row r="7" ht="49" customHeight="1">
      <x:c r="A7" s="8" t="str">
        <x:v>Original unique flow coverage</x:v>
      </x:c>
      <x:c r="B7" s="21" t="n">
        <x:v>20115529</x:v>
      </x:c>
      <x:c r="C7" s="21" t="n">
        <x:v>20115529</x:v>
      </x:c>
      <x:c r="D7" s="22" t="str">
        <x:v>yes</x:v>
      </x:c>
    </x:row>
    <x:row r="8" ht="49" customHeight="1">
      <x:c r="A8" s="8" t="str">
        <x:v>Original attack flow coverage</x:v>
      </x:c>
      <x:c r="B8" s="21" t="n">
        <x:v>2600903</x:v>
      </x:c>
      <x:c r="C8" s="21" t="n">
        <x:v>2600903</x:v>
      </x:c>
      <x:c r="D8" s="22" t="str">
        <x:v>yes</x:v>
      </x:c>
    </x:row>
    <x:row r="9" ht="49" customHeight="1">
      <x:c r="A9" s="8" t="str">
        <x:v>Retained real plus excluded flow coverage</x:v>
      </x:c>
      <x:c r="B9" s="21" t="n">
        <x:v>20115529</x:v>
      </x:c>
      <x:c r="C9" s="21" t="n">
        <x:v>20115529</x:v>
      </x:c>
      <x:c r="D9" s="22" t="str">
        <x:v>yes</x:v>
      </x:c>
    </x:row>
    <x:row r="10" ht="49" customHeight="1">
      <x:c r="A10" s="8" t="str">
        <x:v>Retained real plus excluded attack coverage</x:v>
      </x:c>
      <x:c r="B10" s="21" t="n">
        <x:v>2600903</x:v>
      </x:c>
      <x:c r="C10" s="21" t="n">
        <x:v>2600903</x:v>
      </x:c>
      <x:c r="D10" s="22" t="str">
        <x:v>yes</x:v>
      </x:c>
    </x:row>
    <x:row r="11" ht="49" customHeight="1">
      <x:c r="A11" s="8" t="str">
        <x:v>Excluded originals in samples</x:v>
      </x:c>
      <x:c r="B11" s="21" t="n">
        <x:v>0</x:v>
      </x:c>
      <x:c r="C11" s="21" t="n">
        <x:v>0</x:v>
      </x:c>
      <x:c r="D11" s="22" t="str">
        <x:v>yes</x:v>
      </x:c>
    </x:row>
    <x:row r="12" ht="49" customHeight="1">
      <x:c r="A12" s="8" t="str">
        <x:v>Inconsistent global 15min block assignments</x:v>
      </x:c>
      <x:c r="B12" s="21" t="n">
        <x:v>0</x:v>
      </x:c>
      <x:c r="C12" s="21" t="n">
        <x:v>0</x:v>
      </x:c>
      <x:c r="D12" s="22" t="str">
        <x:v>yes</x:v>
      </x:c>
    </x:row>
    <x:row r="13" ht="49" customHeight="1">
      <x:c r="A13" s="8" t="str">
        <x:v>Shared global 100s times</x:v>
      </x:c>
      <x:c r="B13" s="21" t="n">
        <x:v>0</x:v>
      </x:c>
      <x:c r="C13" s="21" t="n">
        <x:v>0</x:v>
      </x:c>
      <x:c r="D13" s="22" t="str">
        <x:v>yes</x:v>
      </x:c>
    </x:row>
    <x:row r="14" ht="49" customHeight="1">
      <x:c r="A14" s="8" t="str">
        <x:v>Retained interval overlap sequences</x:v>
      </x:c>
      <x:c r="B14" s="21" t="n">
        <x:v>0</x:v>
      </x:c>
      <x:c r="C14" s="21" t="n">
        <x:v>0</x:v>
      </x:c>
      <x:c r="D14" s="22" t="str">
        <x:v>yes</x:v>
      </x:c>
    </x:row>
    <x:row r="15" ht="49" customHeight="1">
      <x:c r="A15" s="8" t="str">
        <x:v>Cross-split adjacent source pairs</x:v>
      </x:c>
      <x:c r="B15" s="21" t="n">
        <x:v>0</x:v>
      </x:c>
      <x:c r="C15" s="21" t="n">
        <x:v>0</x:v>
      </x:c>
      <x:c r="D15" s="22" t="str">
        <x:v>yes</x:v>
      </x:c>
    </x:row>
    <x:row r="16" ht="49" customHeight="1">
      <x:c r="A16" s="8" t="str">
        <x:v>Attack types missing from train</x:v>
      </x:c>
      <x:c r="B16" s="21" t="n">
        <x:v>0</x:v>
      </x:c>
      <x:c r="C16" s="21" t="n">
        <x:v>0</x:v>
      </x:c>
      <x:c r="D16" s="22" t="str">
        <x:v>yes</x:v>
      </x:c>
    </x:row>
    <x:row r="17" ht="49" customHeight="1">
      <x:c r="A17" s="8" t="str">
        <x:v>Invalid/cross-split/same-source synthetic donors</x:v>
      </x:c>
      <x:c r="B17" s="21" t="n">
        <x:v>0</x:v>
      </x:c>
      <x:c r="C17" s="21" t="n">
        <x:v>0</x:v>
      </x:c>
      <x:c r="D17" s="22" t="str">
        <x:v>yes</x:v>
      </x:c>
    </x:row>
    <x:row r="18" ht="49" customHeight="1">
      <x:c r="A18" s="8" t="str">
        <x:v>Shifted starts outside 100s</x:v>
      </x:c>
      <x:c r="B18" s="21" t="n">
        <x:v>0</x:v>
      </x:c>
      <x:c r="C18" s="21" t="n">
        <x:v>0</x:v>
      </x:c>
      <x:c r="D18" s="22" t="str">
        <x:v>yes</x:v>
      </x:c>
    </x:row>
    <x:row r="19" ht="49" customHeight="1">
      <x:c r="A19" s="8" t="str">
        <x:v>train normalized sequence count</x:v>
      </x:c>
      <x:c r="B19" s="21" t="n">
        <x:v>781838</x:v>
      </x:c>
      <x:c r="C19" s="21" t="n">
        <x:v>781838</x:v>
      </x:c>
      <x:c r="D19" s="22" t="str">
        <x:v>yes</x:v>
      </x:c>
    </x:row>
    <x:row r="20" ht="49" customHeight="1">
      <x:c r="A20" s="8" t="str">
        <x:v>validation normalized sequence count</x:v>
      </x:c>
      <x:c r="B20" s="21" t="n">
        <x:v>251146</x:v>
      </x:c>
      <x:c r="C20" s="21" t="n">
        <x:v>251146</x:v>
      </x:c>
      <x:c r="D20" s="22" t="str">
        <x:v>yes</x:v>
      </x:c>
    </x:row>
    <x:row r="21" ht="49" customHeight="1">
      <x:c r="A21" s="8" t="str">
        <x:v>test normalized sequence count</x:v>
      </x:c>
      <x:c r="B21" s="21" t="n">
        <x:v>263125</x:v>
      </x:c>
      <x:c r="C21" s="21" t="n">
        <x:v>263125</x:v>
      </x:c>
      <x:c r="D21" s="22" t="str">
        <x:v>yes</x:v>
      </x:c>
    </x:row>
    <x:row r="22" ht="49" customHeight="1">
      <x:c r="A22" s="8" t="str">
        <x:v>finite</x:v>
      </x:c>
      <x:c r="B22" s="25" t="b">
        <x:v>1</x:v>
      </x:c>
      <x:c r="C22" s="25" t="b">
        <x:v>1</x:v>
      </x:c>
      <x:c r="D22" s="22" t="str">
        <x:v>yes</x:v>
      </x:c>
    </x:row>
    <x:row r="23" ht="49" customHeight="1">
      <x:c r="A23" s="8" t="str">
        <x:v>empty_buckets_zero</x:v>
      </x:c>
      <x:c r="B23" s="25" t="b">
        <x:v>1</x:v>
      </x:c>
      <x:c r="C23" s="25" t="b">
        <x:v>1</x:v>
      </x:c>
      <x:c r="D23" s="22" t="str">
        <x:v>yes</x:v>
      </x:c>
    </x:row>
    <x:row r="24" ht="49" customHeight="1">
      <x:c r="A24" s="8" t="str">
        <x:v>labels_reconciled</x:v>
      </x:c>
      <x:c r="B24" s="25" t="b">
        <x:v>1</x:v>
      </x:c>
      <x:c r="C24" s="25" t="b">
        <x:v>1</x:v>
      </x:c>
      <x:c r="D24" s="22" t="str">
        <x:v>yes</x:v>
      </x:c>
    </x:row>
    <x:row r="25" ht="49" customHeight="1">
      <x:c r="A25" s="8" t="str">
        <x:v>manifest_reconciled</x:v>
      </x:c>
      <x:c r="B25" s="25" t="b">
        <x:v>1</x:v>
      </x:c>
      <x:c r="C25" s="25" t="b">
        <x:v>1</x:v>
      </x:c>
      <x:c r="D25" s="22" t="str">
        <x:v>yes</x:v>
      </x:c>
    </x:row>
    <x:row r="26" ht="49" customHeight="1">
      <x:c r="A26" s="8" t="str">
        <x:v>Raw database fingerprint unchanged</x:v>
      </x:c>
      <x:c r="B26" s="21" t="str">
        <x:v>{"path":"D:\\Intern\\NUS\\DSA4266\\project\\DSA4266-Cyber-Security\\datasets\\cic_2018_traffic.db","bytes":6574055424,"mtime_ns":"1791617954482244800"}</x:v>
      </x:c>
      <x:c r="C26" s="21" t="str">
        <x:v>{"path":"D:\\Intern\\NUS\\DSA4266\\project\\DSA4266-Cyber-Security\\datasets\\cic_2018_traffic.db","bytes":6574055424,"mtime_ns":"1791617954482244800"}</x:v>
      </x:c>
      <x:c r="D26" s="2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00e410ea228e476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1" hidden="0" customWidth="1"/>
    <x:col min="2" max="2" width="135" hidden="0" customWidth="1"/>
  </x:cols>
  <x:sheetData>
    <x:row r="1" ht="24" customHeight="1">
      <x:c r="A1" s="2"/>
      <x:c r="B1" s="2"/>
    </x:row>
    <x:row r="2" ht="24" customHeight="1">
      <x:c r="A2" s="3" t="str">
        <x:v>Definitions and reproducibility</x:v>
      </x:c>
      <x:c r="B2" s="2"/>
    </x:row>
    <x:row r="3" ht="24" customHeight="1">
      <x:c r="A3" s="2"/>
      <x:c r="B3" s="2"/>
    </x:row>
    <x:row r="4" ht="44" customHeight="1">
      <x:c r="A4" s="7" t="str">
        <x:v>Item</x:v>
      </x:c>
      <x:c r="B4" s="7" t="str">
        <x:v>Definition or value</x:v>
      </x:c>
    </x:row>
    <x:row r="5" ht="50" customHeight="1">
      <x:c r="A5" s="8" t="str">
        <x:v>Dataset</x:v>
      </x:c>
      <x:c r="B5" s="21" t="str">
        <x:v>NF-CICIDS2018-v3, local SQLite network_flows</x:v>
      </x:c>
    </x:row>
    <x:row r="6" ht="50" customHeight="1">
      <x:c r="A6" s="8" t="str">
        <x:v>Generated (UTC+08)</x:v>
      </x:c>
      <x:c r="B6" s="26" t="d">
        <x:v>2026-10-18T20:23:56.000Z</x:v>
      </x:c>
    </x:row>
    <x:row r="7" ht="50" customHeight="1">
      <x:c r="A7" s="8" t="str">
        <x:v>Source</x:v>
      </x:c>
      <x:c r="B7" s="21" t="str">
        <x:v>D:\Intern\NUS\DSA4266\project\DSA4266-Cyber-Security\datasets\cic_2018_traffic.db</x:v>
      </x:c>
    </x:row>
    <x:row r="8" ht="50" customHeight="1">
      <x:c r="A8" s="8" t="str">
        <x:v>Source size / mtime</x:v>
      </x:c>
      <x:c r="B8" s="21" t="str">
        <x:v>6574055424 bytes; mtime_ns: 1791617954482244800</x:v>
      </x:c>
    </x:row>
    <x:row r="9" ht="50" customHeight="1">
      <x:c r="A9" s="8" t="str">
        <x:v>Dataset output</x:v>
      </x:c>
      <x:c r="B9" s="21" t="str">
        <x:v>D:\Intern\NUS\DSA4266\project\DSA4266-Cyber-Security\CIC_new\outputs\buckets_v2_20261018_200028</x:v>
      </x:c>
    </x:row>
    <x:row r="10" ht="50" customHeight="1">
      <x:c r="A10" s="8" t="str">
        <x:v>Reports</x:v>
      </x:c>
      <x:c r="B10" s="21" t="str">
        <x:v>D:\Intern\NUS\DSA4266\project\DSA4266-Cyber-Security\CIC_new\reports\buckets_v2_20261018_200028</x:v>
      </x:c>
    </x:row>
    <x:row r="11" ht="50" customHeight="1">
      <x:c r="A11" s="8" t="str">
        <x:v>Split</x:v>
      </x:c>
      <x:c r="B11" s="21" t="str">
        <x:v>[0.6,0.2,0.2]</x:v>
      </x:c>
    </x:row>
    <x:row r="12" ht="50" customHeight="1">
      <x:c r="A12" s="8" t="str">
        <x:v>Seed</x:v>
      </x:c>
      <x:c r="B12" s="21" t="n">
        <x:v>4266</x:v>
      </x:c>
    </x:row>
    <x:row r="13" ht="50" customHeight="1">
      <x:c r="A13" s="8" t="str">
        <x:v>Window / bucket</x:v>
      </x:c>
      <x:c r="B13" s="21" t="str">
        <x:v>100s / 10s. Assign by flow start; preserve internal empty buckets.</x:v>
      </x:c>
    </x:row>
    <x:row r="14" ht="50" customHeight="1">
      <x:c r="A14" s="8" t="str">
        <x:v>Real split boundary</x:v>
      </x:c>
      <x:c r="B14" s="21" t="str">
        <x:v>All sources in one global 15min block have one assignment. Exclude boundary windows with 100s guards plus actual flow-end checks.</x:v>
      </x:c>
    </x:row>
    <x:row r="15" ht="50" customHeight="1">
      <x:c r="A15" s="8" t="str">
        <x:v>Coverage</x:v>
      </x:c>
      <x:c r="B15" s="21" t="str">
        <x:v>Protect all attack types in training after exclusions; greedily preserve feasible validation/test types. No model-score or seed search.</x:v>
      </x:c>
    </x:row>
    <x:row r="16" ht="50" customHeight="1">
      <x:c r="A16" s="8" t="str">
        <x:v>Proportions</x:v>
      </x:c>
      <x:c r="B16" s="21" t="str">
        <x:v>Target 60/20/20 of retained original sequences, before augmentation. Group reservations and purge can cause deviations.</x:v>
      </x:c>
    </x:row>
    <x:row r="17" ht="50" customHeight="1">
      <x:c r="A17" s="8" t="str">
        <x:v>Evaluation</x:v>
      </x:c>
      <x:c r="B17" s="21" t="str">
        <x:v>Same environment, held-out time blocks. Source IPs and attack campaigns may recur across sets.</x:v>
      </x:c>
    </x:row>
    <x:row r="18" ht="50" customHeight="1">
      <x:c r="A18" s="8" t="str">
        <x:v>Categorical data</x:v>
      </x:c>
      <x:c r="B18" s="21" t="str">
        <x:v>Merge flow records first. Recompute histograms, ratios and diversity. Train-only L7 vocabulary plus UNK.</x:v>
      </x:c>
    </x:row>
    <x:row r="19" ht="50" customHeight="1">
      <x:c r="A19" s="8" t="str">
        <x:v>Normalization</x:v>
      </x:c>
      <x:c r="B19" s="21" t="str">
        <x:v>log1p on nonnegative magnitudes, then original-train active-bucket mean/std. Restore empty buckets to zero.</x:v>
      </x:c>
    </x:row>
    <x:row r="20" ht="50" customHeight="1">
      <x:c r="A20" s="8" t="str">
        <x:v>Shifts</x:v>
      </x:c>
      <x:c r="B20" s="21" t="str">
        <x:v>Shift both endpoints of the second donor by one common offset; all starts remain in [0,100000). Long flow ends may extend beyond it.</x:v>
      </x:c>
    </x:row>
    <x:row r="21" ht="50" customHeight="1">
      <x:c r="A21" s="8" t="str">
        <x:v>Sampling</x:v>
      </x:c>
      <x:c r="B21" s="21" t="str">
        <x:v>Equal attack-type/source/sequence donor selection; benign backgrounds by active-bin band/source/sequence.</x:v>
      </x:c>
    </x:row>
    <x:row r="22" ht="50" customHeight="1">
      <x:c r="A22" s="8" t="str">
        <x:v>Metadata exclusions</x:v>
      </x:c>
      <x:c r="B22" s="21" t="str">
        <x:v>IP literals, labels, attack names, source IDs and synthetic flags are not model inputs.</x:v>
      </x:c>
    </x:row>
    <x:row r="23" ht="50" customHeight="1">
      <x:c r="A23" s="8" t="str">
        <x:v>Missing validation types</x:v>
      </x:c>
      <x:c r="B23" s="21" t="str">
        <x:v>DoS_attacks-Hulk</x:v>
      </x:c>
    </x:row>
    <x:row r="24" ht="50" customHeight="1">
      <x:c r="A24" s="8" t="str">
        <x:v>Missing test types</x:v>
      </x:c>
      <x:c r="B24" s="21" t="str">
        <x:v>DoS_attacks-Hulk, DoS_attacks-Slowloris</x:v>
      </x:c>
    </x:row>
    <x:row r="25" ht="50" customHeight="1">
      <x:c r="A25" s="8" t="str">
        <x:v>Duplicate rows</x:v>
      </x:c>
      <x:c r="B25" s="21" t="str">
        <x:v>Identical complete rows share the source/start grouping key and cannot cross sets. Within-window duplicates are retained.</x:v>
      </x:c>
    </x:row>
    <x:row r="26" ht="50" customHeight="1">
      <x:c r="A26" s="8" t="str">
        <x:v>Code SHA256</x:v>
      </x:c>
      <x:c r="B26" s="21" t="str">
        <x:v>{"build_buckets.py":"fc75962a85b35c7244724775038e1d55f82ee634bd312f94e27740586e73ee8d","bucket_features.py":"e7e3c9b0276d7f9dfd28ee9b0875f9b142065c3c10506e3a25041b9d8a0827bd","split_policy.py":"02066b53d73d777264de708c0a8dd23c8f9318dd16bafa4a9525c14985da903c"}</x:v>
      </x:c>
    </x:row>
    <x:row r="27" ht="50" customHeight="1">
      <x:c r="A27" s="8" t="str">
        <x:v>Runtime</x:v>
      </x:c>
      <x:c r="B27" s="21" t="str">
        <x:v>Python 3.11.6; NumPy 2.4.6</x:v>
      </x:c>
    </x:row>
    <x:row r="28" ht="50" customHeight="1">
      <x:c r="A28" s="8" t="str">
        <x:v>Further definitions</x:v>
      </x:c>
      <x:c r="B28" s="21" t="str">
        <x:v>See metrics_explained.md alongside this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0d89ac790500484c"/>
  </x:tableParts>
</x:worksheet>
</file>