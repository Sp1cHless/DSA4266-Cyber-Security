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Intern\NUS\DSA4266\project\DSA4266-Cyber-Security\CIC_new\EDA\outputs\02_sequence_lengths_20261018\"/>
    </mc:Choice>
  </mc:AlternateContent>
  <xr:revisionPtr revIDLastSave="0" documentId="13_ncr:1_{633E7C32-3B84-4B9A-966F-0E34B1CAC855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Overview" sheetId="1" r:id="rId1"/>
    <sheet name="Classes" sheetId="2" r:id="rId2"/>
    <sheet name="Distributions" sheetId="3" r:id="rId3"/>
    <sheet name="Occupancy" sheetId="4" r:id="rId4"/>
    <sheet name="Attack types" sheetId="5" r:id="rId5"/>
    <sheet name="Daily" sheetId="6" r:id="rId6"/>
    <sheet name="Coverage" sheetId="7" r:id="rId7"/>
    <sheet name="Method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8" i="1" l="1"/>
  <c r="B38" i="1"/>
  <c r="C37" i="1"/>
  <c r="B37" i="1"/>
  <c r="C36" i="1"/>
  <c r="B36" i="1"/>
  <c r="C35" i="1"/>
  <c r="B35" i="1"/>
  <c r="C34" i="1"/>
  <c r="B34" i="1"/>
  <c r="F26" i="1"/>
  <c r="E26" i="1"/>
  <c r="D26" i="1"/>
  <c r="C26" i="1"/>
  <c r="B26" i="1"/>
  <c r="F20" i="1"/>
  <c r="E20" i="1"/>
  <c r="D20" i="1"/>
  <c r="C20" i="1"/>
  <c r="B20" i="1"/>
  <c r="F19" i="1"/>
  <c r="E19" i="1"/>
  <c r="D19" i="1"/>
  <c r="C19" i="1"/>
  <c r="B19" i="1"/>
  <c r="F13" i="1"/>
  <c r="E13" i="1"/>
  <c r="D13" i="1"/>
  <c r="C13" i="1"/>
  <c r="B13" i="1"/>
  <c r="F12" i="1"/>
  <c r="E12" i="1"/>
  <c r="D12" i="1"/>
  <c r="C12" i="1"/>
  <c r="B12" i="1"/>
</calcChain>
</file>

<file path=xl/sharedStrings.xml><?xml version="1.0" encoding="utf-8"?>
<sst xmlns="http://schemas.openxmlformats.org/spreadsheetml/2006/main" count="1347" uniqueCount="179">
  <si>
    <t>CIC source-IP sequence lengths</t>
  </si>
  <si>
    <t>Metric</t>
  </si>
  <si>
    <t>50s</t>
  </si>
  <si>
    <t>100s</t>
  </si>
  <si>
    <t>200s</t>
  </si>
  <si>
    <t>500s</t>
  </si>
  <si>
    <t>1000s</t>
  </si>
  <si>
    <t>Buckets / window</t>
  </si>
  <si>
    <t>Stride (s)</t>
  </si>
  <si>
    <t>Nonempty windows</t>
  </si>
  <si>
    <t>Source IPs represented</t>
  </si>
  <si>
    <t>Benign-only windows</t>
  </si>
  <si>
    <t>Attack-only windows</t>
  </si>
  <si>
    <t>Hybrid windows</t>
  </si>
  <si>
    <t>Hybrid / attack-bearing windows</t>
  </si>
  <si>
    <t>Hybrid with a mixed bucket</t>
  </si>
  <si>
    <t>Hybrid across separate buckets only</t>
  </si>
  <si>
    <t>Mean bucket occupancy</t>
  </si>
  <si>
    <t>Median bucket occupancy</t>
  </si>
  <si>
    <t>P90 bucket occupancy</t>
  </si>
  <si>
    <t>One-active-bucket window share</t>
  </si>
  <si>
    <t>Fully active window share</t>
  </si>
  <si>
    <t>Median flows / window</t>
  </si>
  <si>
    <t>P90 flows / window</t>
  </si>
  <si>
    <t>Median longest empty run (s)</t>
  </si>
  <si>
    <t>Median flow-start span (s)</t>
  </si>
  <si>
    <t>Raw flow coverage</t>
  </si>
  <si>
    <t>Window share: global no-start bins</t>
  </si>
  <si>
    <t>Top 10 source window share</t>
  </si>
  <si>
    <t>Top 10 source attack-window share</t>
  </si>
  <si>
    <t>Nonoverlapping windows; empty bins retained. Day-end partial windows are excluded and reconciled on Coverage.</t>
  </si>
  <si>
    <t>Length</t>
  </si>
  <si>
    <t>Mean occupancy</t>
  </si>
  <si>
    <t>Median occupancy</t>
  </si>
  <si>
    <t>Natural class composition of nonempty source windows</t>
  </si>
  <si>
    <t>Length (s)</t>
  </si>
  <si>
    <t>Activity class</t>
  </si>
  <si>
    <t>Windows</t>
  </si>
  <si>
    <t>Source IPs</t>
  </si>
  <si>
    <t>Flow starts</t>
  </si>
  <si>
    <t>Attack flows</t>
  </si>
  <si>
    <t>Active buckets</t>
  </si>
  <si>
    <t>Mixed-bucket hybrid windows</t>
  </si>
  <si>
    <t>Separate-bucket hybrid windows</t>
  </si>
  <si>
    <t>Global gap windows</t>
  </si>
  <si>
    <t>benign_only</t>
  </si>
  <si>
    <t>attack_only</t>
  </si>
  <si>
    <t>hybrid</t>
  </si>
  <si>
    <t>Exact empirical quantiles by length and class</t>
  </si>
  <si>
    <t>Unit</t>
  </si>
  <si>
    <t>Mean</t>
  </si>
  <si>
    <t>P25</t>
  </si>
  <si>
    <t>Median</t>
  </si>
  <si>
    <t>P75</t>
  </si>
  <si>
    <t>P90</t>
  </si>
  <si>
    <t>P99</t>
  </si>
  <si>
    <t>Maximum</t>
  </si>
  <si>
    <t>all</t>
  </si>
  <si>
    <t>flows</t>
  </si>
  <si>
    <t>active_buckets</t>
  </si>
  <si>
    <t>buckets</t>
  </si>
  <si>
    <t>occupancy</t>
  </si>
  <si>
    <t>fraction</t>
  </si>
  <si>
    <t>longest_empty_run_s</t>
  </si>
  <si>
    <t>seconds</t>
  </si>
  <si>
    <t>longest_active_run_s</t>
  </si>
  <si>
    <t>flow_start_span_s</t>
  </si>
  <si>
    <t>attack_flows</t>
  </si>
  <si>
    <t>attack_fraction</t>
  </si>
  <si>
    <t>total_bytes</t>
  </si>
  <si>
    <t>bytes</t>
  </si>
  <si>
    <t>total_packets</t>
  </si>
  <si>
    <t>packets</t>
  </si>
  <si>
    <t>Observed active-bucket counts; wholly empty windows are not enumerated</t>
  </si>
  <si>
    <t>Total buckets</t>
  </si>
  <si>
    <t>Active share</t>
  </si>
  <si>
    <t>Share within class</t>
  </si>
  <si>
    <t>Attack coverage and window composition; multi-type windows may repeat</t>
  </si>
  <si>
    <t>Attack type</t>
  </si>
  <si>
    <t>Attack flows retained</t>
  </si>
  <si>
    <t>Raw attack flows</t>
  </si>
  <si>
    <t>Flow coverage</t>
  </si>
  <si>
    <t>Bot</t>
  </si>
  <si>
    <t>Brute_Force_-Web</t>
  </si>
  <si>
    <t>Brute_Force_-XSS</t>
  </si>
  <si>
    <t>DDOS_attack-HOIC</t>
  </si>
  <si>
    <t>DDOS_attack-LOIC-UDP</t>
  </si>
  <si>
    <t>DDoS_attacks-LOIC-HTTP</t>
  </si>
  <si>
    <t>DoS_attacks-GoldenEye</t>
  </si>
  <si>
    <t>DoS_attacks-Hulk</t>
  </si>
  <si>
    <t>DoS_attacks-SlowHTTPTest</t>
  </si>
  <si>
    <t>DoS_attacks-Slowloris</t>
  </si>
  <si>
    <t>FTP-BruteForce</t>
  </si>
  <si>
    <t>Infilteration</t>
  </si>
  <si>
    <t>SQL_Injection</t>
  </si>
  <si>
    <t>SSH-Bruteforce</t>
  </si>
  <si>
    <t>Window composition and density by UTC date</t>
  </si>
  <si>
    <t>UTC date</t>
  </si>
  <si>
    <t>Benign-only</t>
  </si>
  <si>
    <t>Attack-only</t>
  </si>
  <si>
    <t>Hybrid</t>
  </si>
  <si>
    <t>Unique flow-start coverage and boundary exclusions</t>
  </si>
  <si>
    <t>One-active-bucket windows</t>
  </si>
  <si>
    <t>Fully active windows</t>
  </si>
  <si>
    <t>Flows retained</t>
  </si>
  <si>
    <t>Raw flows</t>
  </si>
  <si>
    <t>Tail flows excluded</t>
  </si>
  <si>
    <t>Tail attacks excluded</t>
  </si>
  <si>
    <t>UTC day tail (s)</t>
  </si>
  <si>
    <t>Active buckets retained</t>
  </si>
  <si>
    <t>Tail buckets excluded</t>
  </si>
  <si>
    <t>Definitions and reproducibility</t>
  </si>
  <si>
    <t>Item</t>
  </si>
  <si>
    <t>Definition or value</t>
  </si>
  <si>
    <t>Dataset</t>
  </si>
  <si>
    <t>NF-CICIDS2018-v3</t>
  </si>
  <si>
    <t>Generated (UTC)</t>
  </si>
  <si>
    <t>Grouping</t>
  </si>
  <si>
    <t>source IP. All recorded addresses are retained, including special addresses such as 0.0.0.0.</t>
  </si>
  <si>
    <t>Bucket</t>
  </si>
  <si>
    <t>10 seconds, allocated by flow start. No-start bins do not prove no active connections.</t>
  </si>
  <si>
    <t>Window lengths (s)</t>
  </si>
  <si>
    <t>50, 100, 200, 500, 1000</t>
  </si>
  <si>
    <t>Stride</t>
  </si>
  <si>
    <t>Equal to window length. No overlap within one length; different lengths reuse the same original data.</t>
  </si>
  <si>
    <t>Alignment</t>
  </si>
  <si>
    <t>Reset at UTC midnight each date. Window start = midnight + floor(seconds since midnight / length) * length.</t>
  </si>
  <si>
    <t>Day-end tail</t>
  </si>
  <si>
    <t>Exclude incomplete windows crossing midnight; Coverage reports every excluded flow, attack and active bucket.</t>
  </si>
  <si>
    <t>Capture boundaries</t>
  </si>
  <si>
    <t>No capture-session ground truth is assumed. Within-day windows can span no-start network intervals; these are flagged, not filled or silently dropped.</t>
  </si>
  <si>
    <t>Global gap window</t>
  </si>
  <si>
    <t>At least one 10s position has no flow start anywhere in the dataset. This is a diagnostic, not a reliable sensor-availability indicator.</t>
  </si>
  <si>
    <t>Wholly empty windows</t>
  </si>
  <si>
    <t>Not enumerated. All catalog rows have at least one observed source flow start.</t>
  </si>
  <si>
    <t>Internal empty bins</t>
  </si>
  <si>
    <t>Preserved in position. Occupancy = observed source buckets / total window buckets.</t>
  </si>
  <si>
    <t>Classes</t>
  </si>
  <si>
    <t>benign_only: no attack flows; attack_only: no benign flows; hybrid: both labels occur somewhere in the window.</t>
  </si>
  <si>
    <t>Two hybrid types</t>
  </si>
  <si>
    <t>Mixed-bucket: at least one bucket contains both labels. Separate-bucket only: both labels occur in the window but never share a bucket.</t>
  </si>
  <si>
    <t>Temporal overlap</t>
  </si>
  <si>
    <t>Sharing a bucket does not establish actual interval overlap. Separate-bucket flow starts may still belong to overlapping long flows.</t>
  </si>
  <si>
    <t>Longest empty run</t>
  </si>
  <si>
    <t>Includes leading, trailing and internal empty positions. Duration = consecutive empty bucket count x 10 seconds.</t>
  </si>
  <si>
    <t>Flow-start span</t>
  </si>
  <si>
    <t>Last observed flow start minus first observed flow start. It is not connection duration.</t>
  </si>
  <si>
    <t>Quantiles</t>
  </si>
  <si>
    <t>Exact linear-interpolated empirical quantiles. Missing class: count 0, quantiles unavailable.</t>
  </si>
  <si>
    <t>Pooling</t>
  </si>
  <si>
    <t>Overview distributions pool all classes. Use Classes and Distributions to distinguish density differences from changing label composition.</t>
  </si>
  <si>
    <t>Source counts</t>
  </si>
  <si>
    <t>Distinct sources are counted within each length/class/day. A source can recur in multiple classes or dates, so these source counts are not additive.</t>
  </si>
  <si>
    <t>Attack names</t>
  </si>
  <si>
    <t>Read from raw label=1 flows, then checked against cache attack counts. A multi-type window appears in multiple attack rows.</t>
  </si>
  <si>
    <t>Coverage</t>
  </si>
  <si>
    <t>Each retained raw flow is counted once per length. Different lengths are alternatives; their flow totals must not be added together.</t>
  </si>
  <si>
    <t>Catalogs</t>
  </si>
  <si>
    <t>windows_&lt;length&gt;s.csv.gz contains every retained window, its source, absolute boundaries, counts, activity mask and attack names.</t>
  </si>
  <si>
    <t>Activity mask</t>
  </si>
  <si>
    <t>Hex integer; bit 0 is the first bucket. Empty positions are zero. The hex string avoids Excel integer precision limits.</t>
  </si>
  <si>
    <t>Source cache</t>
  </si>
  <si>
    <t>D:\Intern\NUS\DSA4266\project\DSA4266-Cyber-Security\CIC_new\EDA\outputs\01_perspectives_20261018\perspective_counts.sqlite</t>
  </si>
  <si>
    <t>Raw SQLite</t>
  </si>
  <si>
    <t>D:\Intern\NUS\DSA4266\project\DSA4266-Cyber-Security\datasets\cic_2018_traffic.db</t>
  </si>
  <si>
    <t>Raw mtime fingerprint</t>
  </si>
  <si>
    <t>mtime_ns: 1791617954482244800</t>
  </si>
  <si>
    <t>Cache mtime fingerprint</t>
  </si>
  <si>
    <t>mtime_ns: 1792309540717123200</t>
  </si>
  <si>
    <t>Analysis script SHA256</t>
  </si>
  <si>
    <t>04548e8c4fbc25e5be382780cde83fe8a35aec5d2bc793490683d8aca526ae14</t>
  </si>
  <si>
    <t>EDA 01 analysis SHA256</t>
  </si>
  <si>
    <t>fdc8eb21648814cf4696f667ec74c9282e1873dc04b7ddf260c02d13d05b0b8d</t>
  </si>
  <si>
    <t>Runtime (s)</t>
  </si>
  <si>
    <t>Python / SQLite</t>
  </si>
  <si>
    <t>3.12.14 / 3.53.1</t>
  </si>
  <si>
    <t>Training</t>
  </si>
  <si>
    <t>None. No augmentation, balancing, model selection, threshold calibration or train/test split.</t>
  </si>
  <si>
    <t>Attack-bearing window share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</si>
</sst>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00%"/>
    <numFmt numFmtId="177" formatCode="yyyy\-mm\-dd"/>
    <numFmt numFmtId="178" formatCode="yyyy\-mm\-dd\ hh:mm:ss"/>
  </numFmts>
  <fonts count="8">
    <font>
      <sz val="11"/>
      <name val="Carlito"/>
    </font>
    <font>
      <sz val="10"/>
      <color rgb="FF233344"/>
      <name val="Arial"/>
    </font>
    <font>
      <b/>
      <sz val="15"/>
      <color rgb="FF17324D"/>
      <name val="Arial"/>
    </font>
    <font>
      <b/>
      <sz val="10"/>
      <color rgb="FFFFFFFF"/>
      <name val="Arial"/>
    </font>
    <font>
      <i/>
      <sz val="10"/>
      <color rgb="FF526476"/>
      <name val="Arial"/>
    </font>
    <font>
      <sz val="11"/>
      <name val="Carlito"/>
    </font>
    <font>
      <sz val="10"/>
      <color rgb="FF233344"/>
      <name val="Arial"/>
      <family val="2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17324D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/>
  </cellStyleXfs>
  <cellXfs count="14">
    <xf numFmtId="0" fontId="0" fillId="0" borderId="0" xfId="0"/>
    <xf numFmtId="0" fontId="1" fillId="0" borderId="0" xfId="1" applyFont="1" applyAlignment="1">
      <alignment vertical="center"/>
    </xf>
    <xf numFmtId="0" fontId="2" fillId="0" borderId="0" xfId="1" applyFont="1" applyAlignment="1">
      <alignment vertical="center"/>
    </xf>
    <xf numFmtId="0" fontId="3" fillId="2" borderId="0" xfId="1" applyFont="1" applyFill="1" applyAlignment="1">
      <alignment horizontal="center" vertical="center" wrapText="1"/>
    </xf>
    <xf numFmtId="3" fontId="1" fillId="0" borderId="0" xfId="1" applyNumberFormat="1" applyFont="1" applyAlignment="1">
      <alignment vertical="center"/>
    </xf>
    <xf numFmtId="10" fontId="1" fillId="0" borderId="0" xfId="1" applyNumberFormat="1" applyFont="1" applyAlignment="1">
      <alignment vertical="center"/>
    </xf>
    <xf numFmtId="176" fontId="1" fillId="0" borderId="0" xfId="1" applyNumberFormat="1" applyFont="1" applyAlignment="1">
      <alignment vertical="center"/>
    </xf>
    <xf numFmtId="4" fontId="1" fillId="0" borderId="0" xfId="1" applyNumberFormat="1" applyFont="1" applyAlignment="1">
      <alignment vertical="center"/>
    </xf>
    <xf numFmtId="0" fontId="4" fillId="0" borderId="0" xfId="1" applyFont="1"/>
    <xf numFmtId="10" fontId="0" fillId="0" borderId="0" xfId="1" applyNumberFormat="1" applyFont="1"/>
    <xf numFmtId="177" fontId="1" fillId="0" borderId="0" xfId="1" applyNumberFormat="1" applyFont="1" applyAlignment="1">
      <alignment vertical="center"/>
    </xf>
    <xf numFmtId="3" fontId="1" fillId="0" borderId="0" xfId="1" applyNumberFormat="1" applyFont="1" applyAlignment="1">
      <alignment vertical="center" wrapText="1"/>
    </xf>
    <xf numFmtId="178" fontId="1" fillId="0" borderId="0" xfId="1" applyNumberFormat="1" applyFont="1" applyAlignment="1">
      <alignment vertical="center" wrapText="1"/>
    </xf>
    <xf numFmtId="3" fontId="6" fillId="0" borderId="0" xfId="1" applyNumberFormat="1" applyFont="1" applyAlignment="1">
      <alignment vertical="center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c:style val="2"/>
  <c:chart>
    <c:title>
      <c:tx>
        <c:rich>
          <a:bodyPr/>
          <a:lstStyle/>
          <a:p>
            <a:r>
              <a:rPr sz="975">
                <a:latin typeface="Arial"/>
                <a:ea typeface="Arial"/>
                <a:cs typeface="Arial"/>
              </a:rPr>
              <a:t>Active bucket share by window length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Mean occupancy</c:v>
          </c:tx>
          <c:spPr>
            <a:ln w="19050">
              <a:solidFill>
                <a:srgbClr val="147D92"/>
              </a:solidFill>
              <a:prstDash val="solid"/>
            </a:ln>
          </c:spPr>
          <c:marker>
            <c:symbol val="none"/>
          </c:marker>
          <c:cat>
            <c:strRef>
              <c:f>Overview!$A$34:$A$38</c:f>
              <c:strCache>
                <c:ptCount val="5"/>
                <c:pt idx="0">
                  <c:v>50s</c:v>
                </c:pt>
                <c:pt idx="1">
                  <c:v>100s</c:v>
                </c:pt>
                <c:pt idx="2">
                  <c:v>200s</c:v>
                </c:pt>
                <c:pt idx="3">
                  <c:v>500s</c:v>
                </c:pt>
                <c:pt idx="4">
                  <c:v>1000s</c:v>
                </c:pt>
              </c:strCache>
            </c:strRef>
          </c:cat>
          <c:val>
            <c:numRef>
              <c:f>Overview!$B$34:$B$38</c:f>
              <c:numCache>
                <c:formatCode>0.00%</c:formatCode>
                <c:ptCount val="5"/>
                <c:pt idx="0">
                  <c:v>0.37309868571699595</c:v>
                </c:pt>
                <c:pt idx="1">
                  <c:v>0.24940501068751214</c:v>
                </c:pt>
                <c:pt idx="2">
                  <c:v>0.16408009473570889</c:v>
                </c:pt>
                <c:pt idx="3">
                  <c:v>9.1353326464987047E-2</c:v>
                </c:pt>
                <c:pt idx="4">
                  <c:v>5.6249738564503833E-2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11A-43B5-8A2C-BAD4D68049B7}"/>
            </c:ext>
          </c:extLst>
        </c:ser>
        <c:ser>
          <c:idx val="1"/>
          <c:order val="1"/>
          <c:tx>
            <c:v>Median occupancy</c:v>
          </c:tx>
          <c:spPr>
            <a:ln w="19050">
              <a:solidFill>
                <a:srgbClr val="C97725"/>
              </a:solidFill>
              <a:prstDash val="solid"/>
            </a:ln>
          </c:spPr>
          <c:marker>
            <c:symbol val="none"/>
          </c:marker>
          <c:cat>
            <c:strRef>
              <c:f>Overview!$A$34:$A$38</c:f>
              <c:strCache>
                <c:ptCount val="5"/>
                <c:pt idx="0">
                  <c:v>50s</c:v>
                </c:pt>
                <c:pt idx="1">
                  <c:v>100s</c:v>
                </c:pt>
                <c:pt idx="2">
                  <c:v>200s</c:v>
                </c:pt>
                <c:pt idx="3">
                  <c:v>500s</c:v>
                </c:pt>
                <c:pt idx="4">
                  <c:v>1000s</c:v>
                </c:pt>
              </c:strCache>
            </c:strRef>
          </c:cat>
          <c:val>
            <c:numRef>
              <c:f>Overview!$C$34:$C$38</c:f>
              <c:numCache>
                <c:formatCode>0.00%</c:formatCode>
                <c:ptCount val="5"/>
                <c:pt idx="0">
                  <c:v>0.2</c:v>
                </c:pt>
                <c:pt idx="1">
                  <c:v>0.1</c:v>
                </c:pt>
                <c:pt idx="2">
                  <c:v>0.05</c:v>
                </c:pt>
                <c:pt idx="3">
                  <c:v>0.02</c:v>
                </c:pt>
                <c:pt idx="4">
                  <c:v>0.01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11A-43B5-8A2C-BAD4D68049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825">
                <a:latin typeface="Arial"/>
                <a:ea typeface="Arial"/>
                <a:cs typeface="Arial"/>
              </a:defRPr>
            </a:pPr>
            <a:endParaRPr lang="zh-CN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%" sourceLinked="0"/>
        <c:majorTickMark val="none"/>
        <c:minorTickMark val="none"/>
        <c:tickLblPos val="nextTo"/>
        <c:txPr>
          <a:bodyPr anchorCtr="1"/>
          <a:lstStyle/>
          <a:p>
            <a:pPr>
              <a:defRPr sz="825">
                <a:latin typeface="Arial"/>
                <a:ea typeface="Arial"/>
                <a:cs typeface="Arial"/>
              </a:defRPr>
            </a:pPr>
            <a:endParaRPr lang="zh-CN"/>
          </a:p>
        </c:txPr>
        <c:crossAx val="48650112"/>
        <c:crosses val="autoZero"/>
        <c:crossBetween val="between"/>
      </c:valAx>
    </c:plotArea>
    <c:legend>
      <c:legendPos val="t"/>
      <c:overlay val="0"/>
      <c:txPr>
        <a:bodyPr anchorCtr="1"/>
        <a:lstStyle/>
        <a:p>
          <a:pPr>
            <a:defRPr sz="825">
              <a:latin typeface="Arial"/>
              <a:ea typeface="Arial"/>
              <a:cs typeface="Arial"/>
            </a:defRPr>
          </a:pPr>
          <a:endParaRPr lang="zh-CN"/>
        </a:p>
      </c:txPr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32</xdr:row>
      <xdr:rowOff>0</xdr:rowOff>
    </xdr:from>
    <xdr:to>
      <xdr:col>11</xdr:col>
      <xdr:colOff>0</xdr:colOff>
      <xdr:row>49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equences0" displayName="Sequences0" ref="A4:F28" totalsRowShown="0">
  <autoFilter ref="A4:F28" xr:uid="{00000000-0009-0000-0100-000001000000}"/>
  <tableColumns count="6">
    <tableColumn id="1" xr3:uid="{00000000-0010-0000-0000-000001000000}" name="Metric"/>
    <tableColumn id="2" xr3:uid="{00000000-0010-0000-0000-000002000000}" name="50s"/>
    <tableColumn id="3" xr3:uid="{00000000-0010-0000-0000-000003000000}" name="100s"/>
    <tableColumn id="4" xr3:uid="{00000000-0010-0000-0000-000004000000}" name="200s"/>
    <tableColumn id="5" xr3:uid="{00000000-0010-0000-0000-000005000000}" name="500s"/>
    <tableColumn id="6" xr3:uid="{00000000-0010-0000-0000-000006000000}" name="1000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Sequences1" displayName="Sequences1" ref="A4:J19" totalsRowShown="0">
  <autoFilter ref="A4:J19" xr:uid="{00000000-0009-0000-0100-000002000000}"/>
  <tableColumns count="10">
    <tableColumn id="1" xr3:uid="{00000000-0010-0000-0100-000001000000}" name="Length (s)"/>
    <tableColumn id="2" xr3:uid="{00000000-0010-0000-0100-000002000000}" name="Activity class"/>
    <tableColumn id="3" xr3:uid="{00000000-0010-0000-0100-000003000000}" name="Windows"/>
    <tableColumn id="4" xr3:uid="{00000000-0010-0000-0100-000004000000}" name="Source IPs"/>
    <tableColumn id="5" xr3:uid="{00000000-0010-0000-0100-000005000000}" name="Flow starts"/>
    <tableColumn id="6" xr3:uid="{00000000-0010-0000-0100-000006000000}" name="Attack flows"/>
    <tableColumn id="7" xr3:uid="{00000000-0010-0000-0100-000007000000}" name="Active buckets"/>
    <tableColumn id="8" xr3:uid="{00000000-0010-0000-0100-000008000000}" name="Mixed-bucket hybrid windows"/>
    <tableColumn id="9" xr3:uid="{00000000-0010-0000-0100-000009000000}" name="Separate-bucket hybrid windows"/>
    <tableColumn id="10" xr3:uid="{00000000-0010-0000-0100-00000A000000}" name="Global gap window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Sequences2" displayName="Sequences2" ref="A4:L204" totalsRowShown="0">
  <autoFilter ref="A4:L204" xr:uid="{00000000-0009-0000-0100-000003000000}"/>
  <tableColumns count="12">
    <tableColumn id="1" xr3:uid="{00000000-0010-0000-0200-000001000000}" name="Length (s)"/>
    <tableColumn id="2" xr3:uid="{00000000-0010-0000-0200-000002000000}" name="Activity class"/>
    <tableColumn id="3" xr3:uid="{00000000-0010-0000-0200-000003000000}" name="Metric"/>
    <tableColumn id="4" xr3:uid="{00000000-0010-0000-0200-000004000000}" name="Unit"/>
    <tableColumn id="5" xr3:uid="{00000000-0010-0000-0200-000005000000}" name="Windows"/>
    <tableColumn id="6" xr3:uid="{00000000-0010-0000-0200-000006000000}" name="Mean"/>
    <tableColumn id="7" xr3:uid="{00000000-0010-0000-0200-000007000000}" name="P25"/>
    <tableColumn id="8" xr3:uid="{00000000-0010-0000-0200-000008000000}" name="Median"/>
    <tableColumn id="9" xr3:uid="{00000000-0010-0000-0200-000009000000}" name="P75"/>
    <tableColumn id="10" xr3:uid="{00000000-0010-0000-0200-00000A000000}" name="P90"/>
    <tableColumn id="11" xr3:uid="{00000000-0010-0000-0200-00000B000000}" name="P99"/>
    <tableColumn id="12" xr3:uid="{00000000-0010-0000-0200-00000C000000}" name="Maximum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Sequences3" displayName="Sequences3" ref="A4:G488" totalsRowShown="0">
  <autoFilter ref="A4:G488" xr:uid="{00000000-0009-0000-0100-000004000000}"/>
  <tableColumns count="7">
    <tableColumn id="1" xr3:uid="{00000000-0010-0000-0300-000001000000}" name="Length (s)"/>
    <tableColumn id="2" xr3:uid="{00000000-0010-0000-0300-000002000000}" name="Activity class"/>
    <tableColumn id="3" xr3:uid="{00000000-0010-0000-0300-000003000000}" name="Active buckets"/>
    <tableColumn id="4" xr3:uid="{00000000-0010-0000-0300-000004000000}" name="Total buckets"/>
    <tableColumn id="5" xr3:uid="{00000000-0010-0000-0300-000005000000}" name="Active share"/>
    <tableColumn id="6" xr3:uid="{00000000-0010-0000-0300-000006000000}" name="Windows"/>
    <tableColumn id="7" xr3:uid="{00000000-0010-0000-0300-000007000000}" name="Share within clas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Sequences4" displayName="Sequences4" ref="A4:I74" totalsRowShown="0">
  <autoFilter ref="A4:I74" xr:uid="{00000000-0009-0000-0100-000005000000}"/>
  <tableColumns count="9">
    <tableColumn id="1" xr3:uid="{00000000-0010-0000-0400-000001000000}" name="Length (s)"/>
    <tableColumn id="2" xr3:uid="{00000000-0010-0000-0400-000002000000}" name="Attack type"/>
    <tableColumn id="3" xr3:uid="{00000000-0010-0000-0400-000003000000}" name="Windows"/>
    <tableColumn id="4" xr3:uid="{00000000-0010-0000-0400-000004000000}" name="Source IPs"/>
    <tableColumn id="5" xr3:uid="{00000000-0010-0000-0400-000005000000}" name="Attack-only windows"/>
    <tableColumn id="6" xr3:uid="{00000000-0010-0000-0400-000006000000}" name="Hybrid windows"/>
    <tableColumn id="7" xr3:uid="{00000000-0010-0000-0400-000007000000}" name="Attack flows retained"/>
    <tableColumn id="8" xr3:uid="{00000000-0010-0000-0400-000008000000}" name="Raw attack flows"/>
    <tableColumn id="9" xr3:uid="{00000000-0010-0000-0400-000009000000}" name="Flow coverag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Sequences5" displayName="Sequences5" ref="A4:K59" totalsRowShown="0">
  <autoFilter ref="A4:K59" xr:uid="{00000000-0009-0000-0100-000006000000}"/>
  <tableColumns count="11">
    <tableColumn id="1" xr3:uid="{00000000-0010-0000-0500-000001000000}" name="Length (s)"/>
    <tableColumn id="2" xr3:uid="{00000000-0010-0000-0500-000002000000}" name="UTC date"/>
    <tableColumn id="3" xr3:uid="{00000000-0010-0000-0500-000003000000}" name="Windows"/>
    <tableColumn id="4" xr3:uid="{00000000-0010-0000-0500-000004000000}" name="Source IPs"/>
    <tableColumn id="5" xr3:uid="{00000000-0010-0000-0500-000005000000}" name="Benign-only"/>
    <tableColumn id="6" xr3:uid="{00000000-0010-0000-0500-000006000000}" name="Attack-only"/>
    <tableColumn id="7" xr3:uid="{00000000-0010-0000-0500-000007000000}" name="Hybrid"/>
    <tableColumn id="8" xr3:uid="{00000000-0010-0000-0500-000008000000}" name="Flow starts"/>
    <tableColumn id="9" xr3:uid="{00000000-0010-0000-0500-000009000000}" name="Attack flows"/>
    <tableColumn id="10" xr3:uid="{00000000-0010-0000-0500-00000A000000}" name="Mean occupancy"/>
    <tableColumn id="11" xr3:uid="{00000000-0010-0000-0500-00000B000000}" name="Global gap window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Sequences6" displayName="Sequences6" ref="A4:P9" totalsRowShown="0">
  <autoFilter ref="A4:P9" xr:uid="{00000000-0009-0000-0100-000007000000}"/>
  <tableColumns count="16">
    <tableColumn id="1" xr3:uid="{00000000-0010-0000-0600-000001000000}" name="Length (s)"/>
    <tableColumn id="2" xr3:uid="{00000000-0010-0000-0600-000002000000}" name="Total buckets"/>
    <tableColumn id="3" xr3:uid="{00000000-0010-0000-0600-000003000000}" name="Windows"/>
    <tableColumn id="4" xr3:uid="{00000000-0010-0000-0600-000004000000}" name="One-active-bucket windows"/>
    <tableColumn id="5" xr3:uid="{00000000-0010-0000-0600-000005000000}" name="Fully active windows"/>
    <tableColumn id="6" xr3:uid="{00000000-0010-0000-0600-000006000000}" name="Global gap windows"/>
    <tableColumn id="7" xr3:uid="{00000000-0010-0000-0600-000007000000}" name="Flows retained"/>
    <tableColumn id="8" xr3:uid="{00000000-0010-0000-0600-000008000000}" name="Raw flows"/>
    <tableColumn id="9" xr3:uid="{00000000-0010-0000-0600-000009000000}" name="Tail flows excluded"/>
    <tableColumn id="10" xr3:uid="{00000000-0010-0000-0600-00000A000000}" name="Attack flows retained"/>
    <tableColumn id="11" xr3:uid="{00000000-0010-0000-0600-00000B000000}" name="Raw attack flows"/>
    <tableColumn id="12" xr3:uid="{00000000-0010-0000-0600-00000C000000}" name="Tail attacks excluded"/>
    <tableColumn id="13" xr3:uid="{00000000-0010-0000-0600-00000D000000}" name="Flow coverage"/>
    <tableColumn id="14" xr3:uid="{00000000-0010-0000-0600-00000E000000}" name="UTC day tail (s)"/>
    <tableColumn id="15" xr3:uid="{00000000-0010-0000-0600-00000F000000}" name="Active buckets retained"/>
    <tableColumn id="16" xr3:uid="{00000000-0010-0000-0600-000010000000}" name="Tail buckets excluded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Sequences7" displayName="Sequences7" ref="A4:B37" totalsRowShown="0">
  <autoFilter ref="A4:B37" xr:uid="{00000000-0009-0000-0100-000008000000}"/>
  <tableColumns count="2">
    <tableColumn id="1" xr3:uid="{00000000-0010-0000-0700-000001000000}" name="Item"/>
    <tableColumn id="2" xr3:uid="{00000000-0010-0000-0700-000002000000}" name="Definition or val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7324D"/>
  </sheetPr>
  <dimension ref="A1:F38"/>
  <sheetViews>
    <sheetView showGridLines="0" tabSelected="1" workbookViewId="0">
      <pane xSplit="1" ySplit="4" topLeftCell="B6" activePane="bottomRight" state="frozen"/>
      <selection pane="topRight"/>
      <selection pane="bottomLeft"/>
      <selection pane="bottomRight" activeCell="A13" sqref="A13"/>
    </sheetView>
  </sheetViews>
  <sheetFormatPr defaultRowHeight="14.15"/>
  <cols>
    <col min="1" max="1" width="42" customWidth="1"/>
    <col min="2" max="6" width="19" customWidth="1"/>
  </cols>
  <sheetData>
    <row r="1" spans="1:6" ht="23.05" customHeight="1">
      <c r="A1" s="1"/>
      <c r="B1" s="1"/>
      <c r="C1" s="1"/>
      <c r="D1" s="1"/>
      <c r="E1" s="1"/>
      <c r="F1" s="1"/>
    </row>
    <row r="2" spans="1:6" ht="23.05" customHeight="1">
      <c r="A2" s="2" t="s">
        <v>0</v>
      </c>
      <c r="B2" s="1"/>
      <c r="C2" s="1"/>
      <c r="D2" s="1"/>
      <c r="E2" s="1"/>
      <c r="F2" s="1"/>
    </row>
    <row r="3" spans="1:6" ht="23.05" customHeight="1">
      <c r="A3" s="1"/>
      <c r="B3" s="1"/>
      <c r="C3" s="1"/>
      <c r="D3" s="1"/>
      <c r="E3" s="1"/>
      <c r="F3" s="1"/>
    </row>
    <row r="4" spans="1:6" ht="45" customHeight="1">
      <c r="A4" s="3" t="s">
        <v>1</v>
      </c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</row>
    <row r="5" spans="1:6" ht="23.05" customHeight="1">
      <c r="A5" s="4" t="s">
        <v>7</v>
      </c>
      <c r="B5" s="4">
        <v>5</v>
      </c>
      <c r="C5" s="4">
        <v>10</v>
      </c>
      <c r="D5" s="4">
        <v>20</v>
      </c>
      <c r="E5" s="4">
        <v>50</v>
      </c>
      <c r="F5" s="4">
        <v>100</v>
      </c>
    </row>
    <row r="6" spans="1:6" ht="23.05" customHeight="1">
      <c r="A6" s="4" t="s">
        <v>8</v>
      </c>
      <c r="B6" s="4">
        <v>50</v>
      </c>
      <c r="C6" s="4">
        <v>100</v>
      </c>
      <c r="D6" s="4">
        <v>200</v>
      </c>
      <c r="E6" s="4">
        <v>500</v>
      </c>
      <c r="F6" s="4">
        <v>1000</v>
      </c>
    </row>
    <row r="7" spans="1:6" ht="23.05" customHeight="1">
      <c r="A7" s="4" t="s">
        <v>9</v>
      </c>
      <c r="B7" s="4">
        <v>1960841</v>
      </c>
      <c r="C7" s="4">
        <v>1466665</v>
      </c>
      <c r="D7" s="4">
        <v>1114680</v>
      </c>
      <c r="E7" s="4">
        <v>800775</v>
      </c>
      <c r="F7" s="4">
        <v>650256</v>
      </c>
    </row>
    <row r="8" spans="1:6" ht="23.05" customHeight="1">
      <c r="A8" s="4" t="s">
        <v>10</v>
      </c>
      <c r="B8" s="4">
        <v>181876</v>
      </c>
      <c r="C8" s="4">
        <v>181876</v>
      </c>
      <c r="D8" s="4">
        <v>181876</v>
      </c>
      <c r="E8" s="4">
        <v>181865</v>
      </c>
      <c r="F8" s="4">
        <v>181865</v>
      </c>
    </row>
    <row r="9" spans="1:6" ht="23.05" customHeight="1">
      <c r="A9" s="4" t="s">
        <v>11</v>
      </c>
      <c r="B9" s="4">
        <v>1944616</v>
      </c>
      <c r="C9" s="4">
        <v>1455747</v>
      </c>
      <c r="D9" s="4">
        <v>1107376</v>
      </c>
      <c r="E9" s="4">
        <v>796447</v>
      </c>
      <c r="F9" s="4">
        <v>647108</v>
      </c>
    </row>
    <row r="10" spans="1:6" ht="23.05" customHeight="1">
      <c r="A10" s="4" t="s">
        <v>12</v>
      </c>
      <c r="B10" s="4">
        <v>9739</v>
      </c>
      <c r="C10" s="4">
        <v>5708</v>
      </c>
      <c r="D10" s="4">
        <v>3281</v>
      </c>
      <c r="E10" s="4">
        <v>1597</v>
      </c>
      <c r="F10" s="4">
        <v>1068</v>
      </c>
    </row>
    <row r="11" spans="1:6" ht="23.05" customHeight="1">
      <c r="A11" s="4" t="s">
        <v>13</v>
      </c>
      <c r="B11" s="4">
        <v>6486</v>
      </c>
      <c r="C11" s="4">
        <v>5210</v>
      </c>
      <c r="D11" s="4">
        <v>4023</v>
      </c>
      <c r="E11" s="4">
        <v>2731</v>
      </c>
      <c r="F11" s="4">
        <v>2080</v>
      </c>
    </row>
    <row r="12" spans="1:6" ht="23.05" customHeight="1">
      <c r="A12" s="13" t="s">
        <v>178</v>
      </c>
      <c r="B12" s="5">
        <f>SUM(B10:B11)/B7</f>
        <v>8.2745107838932373E-3</v>
      </c>
      <c r="C12" s="5">
        <f>SUM(C10:C11)/C7</f>
        <v>7.4440993682947368E-3</v>
      </c>
      <c r="D12" s="5">
        <f>SUM(D10:D11)/D7</f>
        <v>6.5525531991244123E-3</v>
      </c>
      <c r="E12" s="5">
        <f>SUM(E10:E11)/E7</f>
        <v>5.4047641347444667E-3</v>
      </c>
      <c r="F12" s="5">
        <f>SUM(F10:F11)/F7</f>
        <v>4.8411702467951083E-3</v>
      </c>
    </row>
    <row r="13" spans="1:6" ht="23.05" customHeight="1">
      <c r="A13" s="4" t="s">
        <v>14</v>
      </c>
      <c r="B13" s="5">
        <f>IF(SUM(B10:B11)=0,"n.a.",B11/SUM(B10:B11))</f>
        <v>0.39975346687211094</v>
      </c>
      <c r="C13" s="5">
        <f>IF(SUM(C10:C11)=0,"n.a.",C11/SUM(C10:C11))</f>
        <v>0.47719362520608172</v>
      </c>
      <c r="D13" s="5">
        <f>IF(SUM(D10:D11)=0,"n.a.",D11/SUM(D10:D11))</f>
        <v>0.55079408543263964</v>
      </c>
      <c r="E13" s="5">
        <f>IF(SUM(E10:E11)=0,"n.a.",E11/SUM(E10:E11))</f>
        <v>0.63100739371534198</v>
      </c>
      <c r="F13" s="5">
        <f>IF(SUM(F10:F11)=0,"n.a.",F11/SUM(F10:F11))</f>
        <v>0.66073697585768743</v>
      </c>
    </row>
    <row r="14" spans="1:6" ht="23.05" customHeight="1">
      <c r="A14" s="4" t="s">
        <v>15</v>
      </c>
      <c r="B14" s="4">
        <v>5556</v>
      </c>
      <c r="C14" s="4">
        <v>4262</v>
      </c>
      <c r="D14" s="4">
        <v>3179</v>
      </c>
      <c r="E14" s="4">
        <v>2057</v>
      </c>
      <c r="F14" s="4">
        <v>1454</v>
      </c>
    </row>
    <row r="15" spans="1:6" ht="23.05" customHeight="1">
      <c r="A15" s="4" t="s">
        <v>16</v>
      </c>
      <c r="B15" s="4">
        <v>930</v>
      </c>
      <c r="C15" s="4">
        <v>948</v>
      </c>
      <c r="D15" s="4">
        <v>844</v>
      </c>
      <c r="E15" s="4">
        <v>674</v>
      </c>
      <c r="F15" s="4">
        <v>626</v>
      </c>
    </row>
    <row r="16" spans="1:6" ht="23.05" customHeight="1">
      <c r="A16" s="4" t="s">
        <v>17</v>
      </c>
      <c r="B16" s="5">
        <v>0.37309868571699595</v>
      </c>
      <c r="C16" s="5">
        <v>0.24940501068751214</v>
      </c>
      <c r="D16" s="5">
        <v>0.16408009473570889</v>
      </c>
      <c r="E16" s="5">
        <v>9.1353326464987047E-2</v>
      </c>
      <c r="F16" s="5">
        <v>5.6249738564503833E-2</v>
      </c>
    </row>
    <row r="17" spans="1:6" ht="23.05" customHeight="1">
      <c r="A17" s="4" t="s">
        <v>18</v>
      </c>
      <c r="B17" s="5">
        <v>0.2</v>
      </c>
      <c r="C17" s="5">
        <v>0.1</v>
      </c>
      <c r="D17" s="5">
        <v>0.05</v>
      </c>
      <c r="E17" s="5">
        <v>0.02</v>
      </c>
      <c r="F17" s="5">
        <v>0.01</v>
      </c>
    </row>
    <row r="18" spans="1:6" ht="23.05" customHeight="1">
      <c r="A18" s="4" t="s">
        <v>19</v>
      </c>
      <c r="B18" s="5">
        <v>0.8</v>
      </c>
      <c r="C18" s="5">
        <v>0.6</v>
      </c>
      <c r="D18" s="5">
        <v>0.45</v>
      </c>
      <c r="E18" s="5">
        <v>0.26</v>
      </c>
      <c r="F18" s="5">
        <v>0.13</v>
      </c>
    </row>
    <row r="19" spans="1:6" ht="23.05" customHeight="1">
      <c r="A19" s="4" t="s">
        <v>20</v>
      </c>
      <c r="B19" s="5">
        <f>Coverage!D5/B7</f>
        <v>0.57072297039892572</v>
      </c>
      <c r="C19" s="5">
        <f>Coverage!D6/C7</f>
        <v>0.51950990853398693</v>
      </c>
      <c r="D19" s="5">
        <f>Coverage!D7/D7</f>
        <v>0.51539903828901568</v>
      </c>
      <c r="E19" s="5">
        <f>Coverage!D8/E7</f>
        <v>0.51021198214229968</v>
      </c>
      <c r="F19" s="5">
        <f>Coverage!D9/F7</f>
        <v>0.51174921876922319</v>
      </c>
    </row>
    <row r="20" spans="1:6" ht="23.05" customHeight="1">
      <c r="A20" s="4" t="s">
        <v>21</v>
      </c>
      <c r="B20" s="5">
        <f>Coverage!E5/B7</f>
        <v>7.9172151133110741E-2</v>
      </c>
      <c r="C20" s="5">
        <f>Coverage!E6/C7</f>
        <v>3.844913460128932E-2</v>
      </c>
      <c r="D20" s="5">
        <f>Coverage!E7/D7</f>
        <v>2.0913625435102452E-2</v>
      </c>
      <c r="E20" s="5">
        <f>Coverage!E8/E7</f>
        <v>9.8367206768443065E-3</v>
      </c>
      <c r="F20" s="5">
        <f>Coverage!E9/F7</f>
        <v>5.3609655274230459E-3</v>
      </c>
    </row>
    <row r="21" spans="1:6" ht="23.05" customHeight="1">
      <c r="A21" s="4" t="s">
        <v>22</v>
      </c>
      <c r="B21" s="7">
        <v>2</v>
      </c>
      <c r="C21" s="7">
        <v>3</v>
      </c>
      <c r="D21" s="7">
        <v>3</v>
      </c>
      <c r="E21" s="7">
        <v>3</v>
      </c>
      <c r="F21" s="7">
        <v>3</v>
      </c>
    </row>
    <row r="22" spans="1:6" ht="23.05" customHeight="1">
      <c r="A22" s="4" t="s">
        <v>23</v>
      </c>
      <c r="B22" s="7">
        <v>16</v>
      </c>
      <c r="C22" s="7">
        <v>26</v>
      </c>
      <c r="D22" s="7">
        <v>38</v>
      </c>
      <c r="E22" s="7">
        <v>41</v>
      </c>
      <c r="F22" s="7">
        <v>35</v>
      </c>
    </row>
    <row r="23" spans="1:6" ht="23.05" customHeight="1">
      <c r="A23" s="4" t="s">
        <v>24</v>
      </c>
      <c r="B23" s="7">
        <v>30</v>
      </c>
      <c r="C23" s="7">
        <v>60</v>
      </c>
      <c r="D23" s="7">
        <v>120</v>
      </c>
      <c r="E23" s="7">
        <v>320</v>
      </c>
      <c r="F23" s="7">
        <v>670</v>
      </c>
    </row>
    <row r="24" spans="1:6" ht="23.05" customHeight="1">
      <c r="A24" s="4" t="s">
        <v>25</v>
      </c>
      <c r="B24" s="7">
        <v>3.6970000000000001</v>
      </c>
      <c r="C24" s="7">
        <v>4.1040000000000001</v>
      </c>
      <c r="D24" s="7">
        <v>4.1239999999999997</v>
      </c>
      <c r="E24" s="7">
        <v>4.1580000000000004</v>
      </c>
      <c r="F24" s="7">
        <v>4.1369999999999996</v>
      </c>
    </row>
    <row r="25" spans="1:6" ht="23.05" customHeight="1">
      <c r="A25" s="4" t="s">
        <v>26</v>
      </c>
      <c r="B25" s="6">
        <v>1</v>
      </c>
      <c r="C25" s="6">
        <v>1</v>
      </c>
      <c r="D25" s="6">
        <v>1</v>
      </c>
      <c r="E25" s="6">
        <v>0.99997762922367095</v>
      </c>
      <c r="F25" s="6">
        <v>0.99997762922367095</v>
      </c>
    </row>
    <row r="26" spans="1:6" ht="23.05" customHeight="1">
      <c r="A26" s="4" t="s">
        <v>27</v>
      </c>
      <c r="B26" s="5">
        <f>Coverage!F5/B7</f>
        <v>1.7334398862528884E-3</v>
      </c>
      <c r="C26" s="5">
        <f>Coverage!F6/C7</f>
        <v>3.3259128703555345E-3</v>
      </c>
      <c r="D26" s="5">
        <f>Coverage!F7/D7</f>
        <v>5.9748089137689744E-3</v>
      </c>
      <c r="E26" s="5">
        <f>Coverage!F8/E7</f>
        <v>1.2210670912553463E-2</v>
      </c>
      <c r="F26" s="5">
        <f>Coverage!F9/F7</f>
        <v>2.418739696365739E-2</v>
      </c>
    </row>
    <row r="27" spans="1:6" ht="23.05" customHeight="1">
      <c r="A27" s="4" t="s">
        <v>28</v>
      </c>
      <c r="B27" s="5">
        <v>2.8804477262562338E-2</v>
      </c>
      <c r="C27" s="5">
        <v>2.1364797005451141E-2</v>
      </c>
      <c r="D27" s="5">
        <v>1.4595220152868986E-2</v>
      </c>
      <c r="E27" s="5">
        <v>8.4243389216696329E-3</v>
      </c>
      <c r="F27" s="5">
        <v>5.4255554735365766E-3</v>
      </c>
    </row>
    <row r="28" spans="1:6" ht="23.05" customHeight="1">
      <c r="A28" s="4" t="s">
        <v>29</v>
      </c>
      <c r="B28" s="5">
        <v>0.56209553158705705</v>
      </c>
      <c r="C28" s="5">
        <v>0.52097453746107347</v>
      </c>
      <c r="D28" s="5">
        <v>0.45481927710843373</v>
      </c>
      <c r="E28" s="5">
        <v>0.33202402957486138</v>
      </c>
      <c r="F28" s="5">
        <v>0.23475222363405338</v>
      </c>
    </row>
    <row r="30" spans="1:6">
      <c r="A30" s="8" t="s">
        <v>30</v>
      </c>
    </row>
    <row r="33" spans="1:3">
      <c r="A33" t="s">
        <v>31</v>
      </c>
      <c r="B33" t="s">
        <v>32</v>
      </c>
      <c r="C33" t="s">
        <v>33</v>
      </c>
    </row>
    <row r="34" spans="1:3">
      <c r="A34" t="s">
        <v>2</v>
      </c>
      <c r="B34" s="9">
        <f>B16</f>
        <v>0.37309868571699595</v>
      </c>
      <c r="C34" s="9">
        <f>B17</f>
        <v>0.2</v>
      </c>
    </row>
    <row r="35" spans="1:3">
      <c r="A35" t="s">
        <v>3</v>
      </c>
      <c r="B35" s="9">
        <f>C16</f>
        <v>0.24940501068751214</v>
      </c>
      <c r="C35" s="9">
        <f>C17</f>
        <v>0.1</v>
      </c>
    </row>
    <row r="36" spans="1:3">
      <c r="A36" t="s">
        <v>4</v>
      </c>
      <c r="B36" s="9">
        <f>D16</f>
        <v>0.16408009473570889</v>
      </c>
      <c r="C36" s="9">
        <f>D17</f>
        <v>0.05</v>
      </c>
    </row>
    <row r="37" spans="1:3">
      <c r="A37" t="s">
        <v>5</v>
      </c>
      <c r="B37" s="9">
        <f>E16</f>
        <v>9.1353326464987047E-2</v>
      </c>
      <c r="C37" s="9">
        <f>E17</f>
        <v>0.02</v>
      </c>
    </row>
    <row r="38" spans="1:3">
      <c r="A38" t="s">
        <v>6</v>
      </c>
      <c r="B38" s="9">
        <f>F16</f>
        <v>5.6249738564503833E-2</v>
      </c>
      <c r="C38" s="9">
        <f>F17</f>
        <v>0.01</v>
      </c>
    </row>
  </sheetData>
  <phoneticPr fontId="7" type="noConversion"/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9"/>
  <sheetViews>
    <sheetView showGridLines="0" topLeftCell="A2" workbookViewId="0"/>
  </sheetViews>
  <sheetFormatPr defaultRowHeight="14.15"/>
  <cols>
    <col min="1" max="1" width="19" customWidth="1"/>
    <col min="2" max="2" width="24" customWidth="1"/>
    <col min="3" max="7" width="19" customWidth="1"/>
    <col min="8" max="8" width="26" customWidth="1"/>
    <col min="9" max="9" width="28" customWidth="1"/>
    <col min="10" max="10" width="19" customWidth="1"/>
  </cols>
  <sheetData>
    <row r="1" spans="1:10" ht="23.05" customHeight="1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ht="23.05" customHeight="1">
      <c r="A2" s="2" t="s">
        <v>34</v>
      </c>
      <c r="B2" s="1"/>
      <c r="C2" s="1"/>
      <c r="D2" s="1"/>
      <c r="E2" s="1"/>
      <c r="F2" s="1"/>
      <c r="G2" s="1"/>
      <c r="H2" s="1"/>
      <c r="I2" s="1"/>
      <c r="J2" s="1"/>
    </row>
    <row r="3" spans="1:10" ht="23.05" customHeight="1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ht="45" customHeight="1">
      <c r="A4" s="3" t="s">
        <v>35</v>
      </c>
      <c r="B4" s="3" t="s">
        <v>36</v>
      </c>
      <c r="C4" s="3" t="s">
        <v>37</v>
      </c>
      <c r="D4" s="3" t="s">
        <v>38</v>
      </c>
      <c r="E4" s="3" t="s">
        <v>39</v>
      </c>
      <c r="F4" s="3" t="s">
        <v>40</v>
      </c>
      <c r="G4" s="3" t="s">
        <v>41</v>
      </c>
      <c r="H4" s="3" t="s">
        <v>42</v>
      </c>
      <c r="I4" s="3" t="s">
        <v>43</v>
      </c>
      <c r="J4" s="3" t="s">
        <v>44</v>
      </c>
    </row>
    <row r="5" spans="1:10" ht="23.05" customHeight="1">
      <c r="A5" s="4">
        <v>50</v>
      </c>
      <c r="B5" s="4" t="s">
        <v>45</v>
      </c>
      <c r="C5" s="4">
        <v>1944616</v>
      </c>
      <c r="D5" s="4">
        <v>181660</v>
      </c>
      <c r="E5" s="4">
        <v>17330166</v>
      </c>
      <c r="F5" s="4">
        <v>0</v>
      </c>
      <c r="G5" s="4">
        <v>3608864</v>
      </c>
      <c r="H5" s="4">
        <v>0</v>
      </c>
      <c r="I5" s="4">
        <v>0</v>
      </c>
      <c r="J5" s="4">
        <v>3399</v>
      </c>
    </row>
    <row r="6" spans="1:10" ht="23.05" customHeight="1">
      <c r="A6" s="4">
        <v>50</v>
      </c>
      <c r="B6" s="4" t="s">
        <v>46</v>
      </c>
      <c r="C6" s="4">
        <v>9739</v>
      </c>
      <c r="D6" s="4">
        <v>834</v>
      </c>
      <c r="E6" s="4">
        <v>2432856</v>
      </c>
      <c r="F6" s="4">
        <v>2432856</v>
      </c>
      <c r="G6" s="4">
        <v>29207</v>
      </c>
      <c r="H6" s="4">
        <v>0</v>
      </c>
      <c r="I6" s="4">
        <v>0</v>
      </c>
      <c r="J6" s="4">
        <v>0</v>
      </c>
    </row>
    <row r="7" spans="1:10" ht="23.05" customHeight="1">
      <c r="A7" s="4">
        <v>50</v>
      </c>
      <c r="B7" s="4" t="s">
        <v>47</v>
      </c>
      <c r="C7" s="4">
        <v>6486</v>
      </c>
      <c r="D7" s="4">
        <v>423</v>
      </c>
      <c r="E7" s="4">
        <v>352507</v>
      </c>
      <c r="F7" s="4">
        <v>168047</v>
      </c>
      <c r="G7" s="4">
        <v>19865</v>
      </c>
      <c r="H7" s="4">
        <v>5556</v>
      </c>
      <c r="I7" s="4">
        <v>930</v>
      </c>
      <c r="J7" s="4">
        <v>0</v>
      </c>
    </row>
    <row r="8" spans="1:10" ht="23.05" customHeight="1">
      <c r="A8" s="4">
        <v>100</v>
      </c>
      <c r="B8" s="4" t="s">
        <v>45</v>
      </c>
      <c r="C8" s="4">
        <v>1455747</v>
      </c>
      <c r="D8" s="4">
        <v>181656</v>
      </c>
      <c r="E8" s="4">
        <v>17314906</v>
      </c>
      <c r="F8" s="4">
        <v>0</v>
      </c>
      <c r="G8" s="4">
        <v>3605224</v>
      </c>
      <c r="H8" s="4">
        <v>0</v>
      </c>
      <c r="I8" s="4">
        <v>0</v>
      </c>
      <c r="J8" s="4">
        <v>4876</v>
      </c>
    </row>
    <row r="9" spans="1:10" ht="23.05" customHeight="1">
      <c r="A9" s="4">
        <v>100</v>
      </c>
      <c r="B9" s="4" t="s">
        <v>46</v>
      </c>
      <c r="C9" s="4">
        <v>5708</v>
      </c>
      <c r="D9" s="4">
        <v>788</v>
      </c>
      <c r="E9" s="4">
        <v>2409605</v>
      </c>
      <c r="F9" s="4">
        <v>2409605</v>
      </c>
      <c r="G9" s="4">
        <v>26662</v>
      </c>
      <c r="H9" s="4">
        <v>0</v>
      </c>
      <c r="I9" s="4">
        <v>0</v>
      </c>
      <c r="J9" s="4">
        <v>0</v>
      </c>
    </row>
    <row r="10" spans="1:10" ht="23.05" customHeight="1">
      <c r="A10" s="4">
        <v>100</v>
      </c>
      <c r="B10" s="4" t="s">
        <v>47</v>
      </c>
      <c r="C10" s="4">
        <v>5210</v>
      </c>
      <c r="D10" s="4">
        <v>456</v>
      </c>
      <c r="E10" s="4">
        <v>391018</v>
      </c>
      <c r="F10" s="4">
        <v>191298</v>
      </c>
      <c r="G10" s="4">
        <v>26050</v>
      </c>
      <c r="H10" s="4">
        <v>4262</v>
      </c>
      <c r="I10" s="4">
        <v>948</v>
      </c>
      <c r="J10" s="4">
        <v>2</v>
      </c>
    </row>
    <row r="11" spans="1:10" ht="23.05" customHeight="1">
      <c r="A11" s="4">
        <v>200</v>
      </c>
      <c r="B11" s="4" t="s">
        <v>45</v>
      </c>
      <c r="C11" s="4">
        <v>1107376</v>
      </c>
      <c r="D11" s="4">
        <v>181656</v>
      </c>
      <c r="E11" s="4">
        <v>17287949</v>
      </c>
      <c r="F11" s="4">
        <v>0</v>
      </c>
      <c r="G11" s="4">
        <v>3600139</v>
      </c>
      <c r="H11" s="4">
        <v>0</v>
      </c>
      <c r="I11" s="4">
        <v>0</v>
      </c>
      <c r="J11" s="4">
        <v>6649</v>
      </c>
    </row>
    <row r="12" spans="1:10" ht="23.05" customHeight="1">
      <c r="A12" s="4">
        <v>200</v>
      </c>
      <c r="B12" s="4" t="s">
        <v>46</v>
      </c>
      <c r="C12" s="4">
        <v>3281</v>
      </c>
      <c r="D12" s="4">
        <v>737</v>
      </c>
      <c r="E12" s="4">
        <v>2385955</v>
      </c>
      <c r="F12" s="4">
        <v>2385955</v>
      </c>
      <c r="G12" s="4">
        <v>23907</v>
      </c>
      <c r="H12" s="4">
        <v>0</v>
      </c>
      <c r="I12" s="4">
        <v>0</v>
      </c>
      <c r="J12" s="4">
        <v>0</v>
      </c>
    </row>
    <row r="13" spans="1:10" ht="23.05" customHeight="1">
      <c r="A13" s="4">
        <v>200</v>
      </c>
      <c r="B13" s="4" t="s">
        <v>47</v>
      </c>
      <c r="C13" s="4">
        <v>4023</v>
      </c>
      <c r="D13" s="4">
        <v>488</v>
      </c>
      <c r="E13" s="4">
        <v>441625</v>
      </c>
      <c r="F13" s="4">
        <v>214948</v>
      </c>
      <c r="G13" s="4">
        <v>33890</v>
      </c>
      <c r="H13" s="4">
        <v>3179</v>
      </c>
      <c r="I13" s="4">
        <v>844</v>
      </c>
      <c r="J13" s="4">
        <v>11</v>
      </c>
    </row>
    <row r="14" spans="1:10" ht="23.05" customHeight="1">
      <c r="A14" s="4">
        <v>500</v>
      </c>
      <c r="B14" s="4" t="s">
        <v>45</v>
      </c>
      <c r="C14" s="4">
        <v>796447</v>
      </c>
      <c r="D14" s="4">
        <v>181641</v>
      </c>
      <c r="E14" s="4">
        <v>17252380</v>
      </c>
      <c r="F14" s="4">
        <v>0</v>
      </c>
      <c r="G14" s="4">
        <v>3589773</v>
      </c>
      <c r="H14" s="4">
        <v>0</v>
      </c>
      <c r="I14" s="4">
        <v>0</v>
      </c>
      <c r="J14" s="4">
        <v>9754</v>
      </c>
    </row>
    <row r="15" spans="1:10" ht="23.05" customHeight="1">
      <c r="A15" s="4">
        <v>500</v>
      </c>
      <c r="B15" s="4" t="s">
        <v>46</v>
      </c>
      <c r="C15" s="4">
        <v>1597</v>
      </c>
      <c r="D15" s="4">
        <v>676</v>
      </c>
      <c r="E15" s="4">
        <v>2343566</v>
      </c>
      <c r="F15" s="4">
        <v>2343566</v>
      </c>
      <c r="G15" s="4">
        <v>20047</v>
      </c>
      <c r="H15" s="4">
        <v>0</v>
      </c>
      <c r="I15" s="4">
        <v>0</v>
      </c>
      <c r="J15" s="4">
        <v>8</v>
      </c>
    </row>
    <row r="16" spans="1:10" ht="23.05" customHeight="1">
      <c r="A16" s="4">
        <v>500</v>
      </c>
      <c r="B16" s="4" t="s">
        <v>47</v>
      </c>
      <c r="C16" s="4">
        <v>2731</v>
      </c>
      <c r="D16" s="4">
        <v>530</v>
      </c>
      <c r="E16" s="4">
        <v>519133</v>
      </c>
      <c r="F16" s="4">
        <v>257337</v>
      </c>
      <c r="G16" s="4">
        <v>47853</v>
      </c>
      <c r="H16" s="4">
        <v>2057</v>
      </c>
      <c r="I16" s="4">
        <v>674</v>
      </c>
      <c r="J16" s="4">
        <v>16</v>
      </c>
    </row>
    <row r="17" spans="1:10" ht="23.05" customHeight="1">
      <c r="A17" s="4">
        <v>1000</v>
      </c>
      <c r="B17" s="4" t="s">
        <v>45</v>
      </c>
      <c r="C17" s="4">
        <v>647108</v>
      </c>
      <c r="D17" s="4">
        <v>181636</v>
      </c>
      <c r="E17" s="4">
        <v>17219331</v>
      </c>
      <c r="F17" s="4">
        <v>0</v>
      </c>
      <c r="G17" s="4">
        <v>3578470</v>
      </c>
      <c r="H17" s="4">
        <v>0</v>
      </c>
      <c r="I17" s="4">
        <v>0</v>
      </c>
      <c r="J17" s="4">
        <v>15676</v>
      </c>
    </row>
    <row r="18" spans="1:10" ht="23.05" customHeight="1">
      <c r="A18" s="4">
        <v>1000</v>
      </c>
      <c r="B18" s="4" t="s">
        <v>46</v>
      </c>
      <c r="C18" s="4">
        <v>1068</v>
      </c>
      <c r="D18" s="4">
        <v>619</v>
      </c>
      <c r="E18" s="4">
        <v>2298814</v>
      </c>
      <c r="F18" s="4">
        <v>2298814</v>
      </c>
      <c r="G18" s="4">
        <v>17000</v>
      </c>
      <c r="H18" s="4">
        <v>0</v>
      </c>
      <c r="I18" s="4">
        <v>0</v>
      </c>
      <c r="J18" s="4">
        <v>18</v>
      </c>
    </row>
    <row r="19" spans="1:10" ht="23.05" customHeight="1">
      <c r="A19" s="4">
        <v>1000</v>
      </c>
      <c r="B19" s="4" t="s">
        <v>47</v>
      </c>
      <c r="C19" s="4">
        <v>2080</v>
      </c>
      <c r="D19" s="4">
        <v>578</v>
      </c>
      <c r="E19" s="4">
        <v>596934</v>
      </c>
      <c r="F19" s="4">
        <v>302089</v>
      </c>
      <c r="G19" s="4">
        <v>62203</v>
      </c>
      <c r="H19" s="4">
        <v>1454</v>
      </c>
      <c r="I19" s="4">
        <v>626</v>
      </c>
      <c r="J19" s="4">
        <v>34</v>
      </c>
    </row>
  </sheetData>
  <phoneticPr fontId="7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04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D5" sqref="D5"/>
    </sheetView>
  </sheetViews>
  <sheetFormatPr defaultRowHeight="14.15"/>
  <cols>
    <col min="1" max="1" width="19" customWidth="1"/>
    <col min="2" max="2" width="24" customWidth="1"/>
    <col min="3" max="3" width="30" customWidth="1"/>
    <col min="4" max="4" width="14" customWidth="1"/>
    <col min="5" max="12" width="19" customWidth="1"/>
  </cols>
  <sheetData>
    <row r="1" spans="1:12" ht="23.0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23.05" customHeight="1">
      <c r="A2" s="2" t="s">
        <v>48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ht="23.0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ht="45" customHeight="1">
      <c r="A4" s="3" t="s">
        <v>35</v>
      </c>
      <c r="B4" s="3" t="s">
        <v>36</v>
      </c>
      <c r="C4" s="3" t="s">
        <v>1</v>
      </c>
      <c r="D4" s="3" t="s">
        <v>49</v>
      </c>
      <c r="E4" s="3" t="s">
        <v>37</v>
      </c>
      <c r="F4" s="3" t="s">
        <v>50</v>
      </c>
      <c r="G4" s="3" t="s">
        <v>51</v>
      </c>
      <c r="H4" s="3" t="s">
        <v>52</v>
      </c>
      <c r="I4" s="3" t="s">
        <v>53</v>
      </c>
      <c r="J4" s="3" t="s">
        <v>54</v>
      </c>
      <c r="K4" s="3" t="s">
        <v>55</v>
      </c>
      <c r="L4" s="3" t="s">
        <v>56</v>
      </c>
    </row>
    <row r="5" spans="1:12" ht="23.05" customHeight="1">
      <c r="A5" s="4">
        <v>50</v>
      </c>
      <c r="B5" s="4" t="s">
        <v>57</v>
      </c>
      <c r="C5" s="4" t="s">
        <v>58</v>
      </c>
      <c r="D5" s="4" t="s">
        <v>58</v>
      </c>
      <c r="E5" s="4">
        <v>1960841</v>
      </c>
      <c r="F5" s="7">
        <v>10.258623213202906</v>
      </c>
      <c r="G5" s="7">
        <v>1</v>
      </c>
      <c r="H5" s="7">
        <v>2</v>
      </c>
      <c r="I5" s="7">
        <v>5</v>
      </c>
      <c r="J5" s="7">
        <v>16</v>
      </c>
      <c r="K5" s="7">
        <v>145</v>
      </c>
      <c r="L5" s="7">
        <v>14116</v>
      </c>
    </row>
    <row r="6" spans="1:12" ht="23.05" customHeight="1">
      <c r="A6" s="4">
        <v>50</v>
      </c>
      <c r="B6" s="4" t="s">
        <v>57</v>
      </c>
      <c r="C6" s="4" t="s">
        <v>59</v>
      </c>
      <c r="D6" s="4" t="s">
        <v>60</v>
      </c>
      <c r="E6" s="4">
        <v>1960841</v>
      </c>
      <c r="F6" s="7">
        <v>1.8654934285849796</v>
      </c>
      <c r="G6" s="7">
        <v>1</v>
      </c>
      <c r="H6" s="7">
        <v>1</v>
      </c>
      <c r="I6" s="7">
        <v>2</v>
      </c>
      <c r="J6" s="7">
        <v>4</v>
      </c>
      <c r="K6" s="7">
        <v>5</v>
      </c>
      <c r="L6" s="7">
        <v>5</v>
      </c>
    </row>
    <row r="7" spans="1:12" ht="23.05" customHeight="1">
      <c r="A7" s="4">
        <v>50</v>
      </c>
      <c r="B7" s="4" t="s">
        <v>57</v>
      </c>
      <c r="C7" s="4" t="s">
        <v>61</v>
      </c>
      <c r="D7" s="4" t="s">
        <v>62</v>
      </c>
      <c r="E7" s="4">
        <v>1960841</v>
      </c>
      <c r="F7" s="5">
        <v>0.37309868571699595</v>
      </c>
      <c r="G7" s="5">
        <v>0.2</v>
      </c>
      <c r="H7" s="5">
        <v>0.2</v>
      </c>
      <c r="I7" s="5">
        <v>0.4</v>
      </c>
      <c r="J7" s="5">
        <v>0.8</v>
      </c>
      <c r="K7" s="5">
        <v>1</v>
      </c>
      <c r="L7" s="5">
        <v>1</v>
      </c>
    </row>
    <row r="8" spans="1:12" ht="23.05" customHeight="1">
      <c r="A8" s="4">
        <v>50</v>
      </c>
      <c r="B8" s="4" t="s">
        <v>57</v>
      </c>
      <c r="C8" s="4" t="s">
        <v>63</v>
      </c>
      <c r="D8" s="4" t="s">
        <v>64</v>
      </c>
      <c r="E8" s="4">
        <v>1960841</v>
      </c>
      <c r="F8" s="7">
        <v>25.114677834663802</v>
      </c>
      <c r="G8" s="7">
        <v>20</v>
      </c>
      <c r="H8" s="7">
        <v>30</v>
      </c>
      <c r="I8" s="7">
        <v>30</v>
      </c>
      <c r="J8" s="7">
        <v>40</v>
      </c>
      <c r="K8" s="7">
        <v>40</v>
      </c>
      <c r="L8" s="7">
        <v>40</v>
      </c>
    </row>
    <row r="9" spans="1:12" ht="23.05" customHeight="1">
      <c r="A9" s="4">
        <v>50</v>
      </c>
      <c r="B9" s="4" t="s">
        <v>57</v>
      </c>
      <c r="C9" s="4" t="s">
        <v>65</v>
      </c>
      <c r="D9" s="4" t="s">
        <v>64</v>
      </c>
      <c r="E9" s="4">
        <v>1960841</v>
      </c>
      <c r="F9" s="7">
        <v>16.736726741229912</v>
      </c>
      <c r="G9" s="7">
        <v>10</v>
      </c>
      <c r="H9" s="7">
        <v>10</v>
      </c>
      <c r="I9" s="7">
        <v>20</v>
      </c>
      <c r="J9" s="7">
        <v>40</v>
      </c>
      <c r="K9" s="7">
        <v>50</v>
      </c>
      <c r="L9" s="7">
        <v>50</v>
      </c>
    </row>
    <row r="10" spans="1:12" ht="23.05" customHeight="1">
      <c r="A10" s="4">
        <v>50</v>
      </c>
      <c r="B10" s="4" t="s">
        <v>57</v>
      </c>
      <c r="C10" s="4" t="s">
        <v>66</v>
      </c>
      <c r="D10" s="4" t="s">
        <v>64</v>
      </c>
      <c r="E10" s="4">
        <v>1960841</v>
      </c>
      <c r="F10" s="7">
        <v>12.175793294305862</v>
      </c>
      <c r="G10" s="7">
        <v>0</v>
      </c>
      <c r="H10" s="7">
        <v>3.6970000000000001</v>
      </c>
      <c r="I10" s="7">
        <v>23.617000000000001</v>
      </c>
      <c r="J10" s="7">
        <v>41.823999999999998</v>
      </c>
      <c r="K10" s="7">
        <v>48.722600000000092</v>
      </c>
      <c r="L10" s="7">
        <v>49.997999999999998</v>
      </c>
    </row>
    <row r="11" spans="1:12" ht="23.05" customHeight="1">
      <c r="A11" s="4">
        <v>50</v>
      </c>
      <c r="B11" s="4" t="s">
        <v>57</v>
      </c>
      <c r="C11" s="4" t="s">
        <v>67</v>
      </c>
      <c r="D11" s="4" t="s">
        <v>58</v>
      </c>
      <c r="E11" s="4">
        <v>1960841</v>
      </c>
      <c r="F11" s="7">
        <v>1.3264221831346856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14116</v>
      </c>
    </row>
    <row r="12" spans="1:12" ht="23.05" customHeight="1">
      <c r="A12" s="4">
        <v>50</v>
      </c>
      <c r="B12" s="4" t="s">
        <v>57</v>
      </c>
      <c r="C12" s="4" t="s">
        <v>68</v>
      </c>
      <c r="D12" s="4" t="s">
        <v>62</v>
      </c>
      <c r="E12" s="4">
        <v>1960841</v>
      </c>
      <c r="F12" s="5">
        <v>6.5799126812284706E-3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1</v>
      </c>
    </row>
    <row r="13" spans="1:12" ht="23.05" customHeight="1">
      <c r="A13" s="4">
        <v>50</v>
      </c>
      <c r="B13" s="4" t="s">
        <v>57</v>
      </c>
      <c r="C13" s="4" t="s">
        <v>69</v>
      </c>
      <c r="D13" s="4" t="s">
        <v>70</v>
      </c>
      <c r="E13" s="4">
        <v>1960841</v>
      </c>
      <c r="F13" s="7">
        <v>78573.414760809261</v>
      </c>
      <c r="G13" s="7">
        <v>231</v>
      </c>
      <c r="H13" s="7">
        <v>1887</v>
      </c>
      <c r="I13" s="7">
        <v>6648</v>
      </c>
      <c r="J13" s="7">
        <v>33252</v>
      </c>
      <c r="K13" s="7">
        <v>677908.40000000037</v>
      </c>
      <c r="L13" s="7">
        <v>491793280</v>
      </c>
    </row>
    <row r="14" spans="1:12" ht="23.05" customHeight="1">
      <c r="A14" s="4">
        <v>50</v>
      </c>
      <c r="B14" s="4" t="s">
        <v>57</v>
      </c>
      <c r="C14" s="4" t="s">
        <v>71</v>
      </c>
      <c r="D14" s="4" t="s">
        <v>72</v>
      </c>
      <c r="E14" s="4">
        <v>1960841</v>
      </c>
      <c r="F14" s="7">
        <v>403.52300110003819</v>
      </c>
      <c r="G14" s="7">
        <v>4</v>
      </c>
      <c r="H14" s="7">
        <v>18</v>
      </c>
      <c r="I14" s="7">
        <v>45</v>
      </c>
      <c r="J14" s="7">
        <v>179</v>
      </c>
      <c r="K14" s="7">
        <v>2071</v>
      </c>
      <c r="L14" s="7">
        <v>4583970</v>
      </c>
    </row>
    <row r="15" spans="1:12" ht="23.05" customHeight="1">
      <c r="A15" s="4">
        <v>50</v>
      </c>
      <c r="B15" s="4" t="s">
        <v>45</v>
      </c>
      <c r="C15" s="4" t="s">
        <v>58</v>
      </c>
      <c r="D15" s="4" t="s">
        <v>58</v>
      </c>
      <c r="E15" s="4">
        <v>1944616</v>
      </c>
      <c r="F15" s="7">
        <v>8.9118705183954052</v>
      </c>
      <c r="G15" s="7">
        <v>1</v>
      </c>
      <c r="H15" s="7">
        <v>2</v>
      </c>
      <c r="I15" s="7">
        <v>5</v>
      </c>
      <c r="J15" s="7">
        <v>16</v>
      </c>
      <c r="K15" s="7">
        <v>136</v>
      </c>
      <c r="L15" s="7">
        <v>3065</v>
      </c>
    </row>
    <row r="16" spans="1:12" ht="23.05" customHeight="1">
      <c r="A16" s="4">
        <v>50</v>
      </c>
      <c r="B16" s="4" t="s">
        <v>45</v>
      </c>
      <c r="C16" s="4" t="s">
        <v>59</v>
      </c>
      <c r="D16" s="4" t="s">
        <v>60</v>
      </c>
      <c r="E16" s="4">
        <v>1944616</v>
      </c>
      <c r="F16" s="7">
        <v>1.8558234633470052</v>
      </c>
      <c r="G16" s="7">
        <v>1</v>
      </c>
      <c r="H16" s="7">
        <v>1</v>
      </c>
      <c r="I16" s="7">
        <v>2</v>
      </c>
      <c r="J16" s="7">
        <v>4</v>
      </c>
      <c r="K16" s="7">
        <v>5</v>
      </c>
      <c r="L16" s="7">
        <v>5</v>
      </c>
    </row>
    <row r="17" spans="1:12" ht="23.05" customHeight="1">
      <c r="A17" s="4">
        <v>50</v>
      </c>
      <c r="B17" s="4" t="s">
        <v>45</v>
      </c>
      <c r="C17" s="4" t="s">
        <v>61</v>
      </c>
      <c r="D17" s="4" t="s">
        <v>62</v>
      </c>
      <c r="E17" s="4">
        <v>1944616</v>
      </c>
      <c r="F17" s="5">
        <v>0.37116469266940105</v>
      </c>
      <c r="G17" s="5">
        <v>0.2</v>
      </c>
      <c r="H17" s="5">
        <v>0.2</v>
      </c>
      <c r="I17" s="5">
        <v>0.4</v>
      </c>
      <c r="J17" s="5">
        <v>0.8</v>
      </c>
      <c r="K17" s="5">
        <v>1</v>
      </c>
      <c r="L17" s="5">
        <v>1</v>
      </c>
    </row>
    <row r="18" spans="1:12" ht="23.05" customHeight="1">
      <c r="A18" s="4">
        <v>50</v>
      </c>
      <c r="B18" s="4" t="s">
        <v>45</v>
      </c>
      <c r="C18" s="4" t="s">
        <v>63</v>
      </c>
      <c r="D18" s="4" t="s">
        <v>64</v>
      </c>
      <c r="E18" s="4">
        <v>1944616</v>
      </c>
      <c r="F18" s="7">
        <v>25.194130872110485</v>
      </c>
      <c r="G18" s="7">
        <v>20</v>
      </c>
      <c r="H18" s="7">
        <v>30</v>
      </c>
      <c r="I18" s="7">
        <v>40</v>
      </c>
      <c r="J18" s="7">
        <v>40</v>
      </c>
      <c r="K18" s="7">
        <v>40</v>
      </c>
      <c r="L18" s="7">
        <v>40</v>
      </c>
    </row>
    <row r="19" spans="1:12" ht="23.05" customHeight="1">
      <c r="A19" s="4">
        <v>50</v>
      </c>
      <c r="B19" s="4" t="s">
        <v>45</v>
      </c>
      <c r="C19" s="4" t="s">
        <v>65</v>
      </c>
      <c r="D19" s="4" t="s">
        <v>64</v>
      </c>
      <c r="E19" s="4">
        <v>1944616</v>
      </c>
      <c r="F19" s="7">
        <v>16.641815144995206</v>
      </c>
      <c r="G19" s="7">
        <v>10</v>
      </c>
      <c r="H19" s="7">
        <v>10</v>
      </c>
      <c r="I19" s="7">
        <v>20</v>
      </c>
      <c r="J19" s="7">
        <v>40</v>
      </c>
      <c r="K19" s="7">
        <v>50</v>
      </c>
      <c r="L19" s="7">
        <v>50</v>
      </c>
    </row>
    <row r="20" spans="1:12" ht="23.05" customHeight="1">
      <c r="A20" s="4">
        <v>50</v>
      </c>
      <c r="B20" s="4" t="s">
        <v>45</v>
      </c>
      <c r="C20" s="4" t="s">
        <v>66</v>
      </c>
      <c r="D20" s="4" t="s">
        <v>64</v>
      </c>
      <c r="E20" s="4">
        <v>1944616</v>
      </c>
      <c r="F20" s="7">
        <v>12.058131986983549</v>
      </c>
      <c r="G20" s="7">
        <v>0</v>
      </c>
      <c r="H20" s="7">
        <v>3.6760000000000002</v>
      </c>
      <c r="I20" s="7">
        <v>23.286000000000001</v>
      </c>
      <c r="J20" s="7">
        <v>41.57</v>
      </c>
      <c r="K20" s="7">
        <v>48.622</v>
      </c>
      <c r="L20" s="7">
        <v>49.994</v>
      </c>
    </row>
    <row r="21" spans="1:12" ht="23.05" customHeight="1">
      <c r="A21" s="4">
        <v>50</v>
      </c>
      <c r="B21" s="4" t="s">
        <v>45</v>
      </c>
      <c r="C21" s="4" t="s">
        <v>67</v>
      </c>
      <c r="D21" s="4" t="s">
        <v>58</v>
      </c>
      <c r="E21" s="4">
        <v>1944616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</row>
    <row r="22" spans="1:12" ht="23.05" customHeight="1">
      <c r="A22" s="4">
        <v>50</v>
      </c>
      <c r="B22" s="4" t="s">
        <v>45</v>
      </c>
      <c r="C22" s="4" t="s">
        <v>68</v>
      </c>
      <c r="D22" s="4" t="s">
        <v>62</v>
      </c>
      <c r="E22" s="4">
        <v>1944616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</row>
    <row r="23" spans="1:12" ht="23.05" customHeight="1">
      <c r="A23" s="4">
        <v>50</v>
      </c>
      <c r="B23" s="4" t="s">
        <v>45</v>
      </c>
      <c r="C23" s="4" t="s">
        <v>69</v>
      </c>
      <c r="D23" s="4" t="s">
        <v>70</v>
      </c>
      <c r="E23" s="4">
        <v>1944616</v>
      </c>
      <c r="F23" s="7">
        <v>59731.857093636994</v>
      </c>
      <c r="G23" s="7">
        <v>229</v>
      </c>
      <c r="H23" s="7">
        <v>1865</v>
      </c>
      <c r="I23" s="7">
        <v>6450</v>
      </c>
      <c r="J23" s="7">
        <v>32280.5</v>
      </c>
      <c r="K23" s="7">
        <v>625992.25000000047</v>
      </c>
      <c r="L23" s="7">
        <v>167013111</v>
      </c>
    </row>
    <row r="24" spans="1:12" ht="23.05" customHeight="1">
      <c r="A24" s="4">
        <v>50</v>
      </c>
      <c r="B24" s="4" t="s">
        <v>45</v>
      </c>
      <c r="C24" s="4" t="s">
        <v>71</v>
      </c>
      <c r="D24" s="4" t="s">
        <v>72</v>
      </c>
      <c r="E24" s="4">
        <v>1944616</v>
      </c>
      <c r="F24" s="7">
        <v>128.01164651530175</v>
      </c>
      <c r="G24" s="7">
        <v>4</v>
      </c>
      <c r="H24" s="7">
        <v>17</v>
      </c>
      <c r="I24" s="7">
        <v>43</v>
      </c>
      <c r="J24" s="7">
        <v>169</v>
      </c>
      <c r="K24" s="7">
        <v>1881</v>
      </c>
      <c r="L24" s="7">
        <v>180396</v>
      </c>
    </row>
    <row r="25" spans="1:12" ht="23.05" customHeight="1">
      <c r="A25" s="4">
        <v>50</v>
      </c>
      <c r="B25" s="4" t="s">
        <v>46</v>
      </c>
      <c r="C25" s="4" t="s">
        <v>58</v>
      </c>
      <c r="D25" s="4" t="s">
        <v>58</v>
      </c>
      <c r="E25" s="4">
        <v>9739</v>
      </c>
      <c r="F25" s="7">
        <v>249.80552418112742</v>
      </c>
      <c r="G25" s="7">
        <v>2</v>
      </c>
      <c r="H25" s="7">
        <v>14</v>
      </c>
      <c r="I25" s="7">
        <v>50</v>
      </c>
      <c r="J25" s="7">
        <v>790.40000000000146</v>
      </c>
      <c r="K25" s="7">
        <v>3320</v>
      </c>
      <c r="L25" s="7">
        <v>14116</v>
      </c>
    </row>
    <row r="26" spans="1:12" ht="23.05" customHeight="1">
      <c r="A26" s="4">
        <v>50</v>
      </c>
      <c r="B26" s="4" t="s">
        <v>46</v>
      </c>
      <c r="C26" s="4" t="s">
        <v>59</v>
      </c>
      <c r="D26" s="4" t="s">
        <v>60</v>
      </c>
      <c r="E26" s="4">
        <v>9739</v>
      </c>
      <c r="F26" s="7">
        <v>2.9989732005339356</v>
      </c>
      <c r="G26" s="7">
        <v>1</v>
      </c>
      <c r="H26" s="7">
        <v>2</v>
      </c>
      <c r="I26" s="7">
        <v>5</v>
      </c>
      <c r="J26" s="7">
        <v>5</v>
      </c>
      <c r="K26" s="7">
        <v>5</v>
      </c>
      <c r="L26" s="7">
        <v>5</v>
      </c>
    </row>
    <row r="27" spans="1:12" ht="23.05" customHeight="1">
      <c r="A27" s="4">
        <v>50</v>
      </c>
      <c r="B27" s="4" t="s">
        <v>46</v>
      </c>
      <c r="C27" s="4" t="s">
        <v>61</v>
      </c>
      <c r="D27" s="4" t="s">
        <v>62</v>
      </c>
      <c r="E27" s="4">
        <v>9739</v>
      </c>
      <c r="F27" s="5">
        <v>0.59979464010678707</v>
      </c>
      <c r="G27" s="5">
        <v>0.2</v>
      </c>
      <c r="H27" s="5">
        <v>0.4</v>
      </c>
      <c r="I27" s="5">
        <v>1</v>
      </c>
      <c r="J27" s="5">
        <v>1</v>
      </c>
      <c r="K27" s="5">
        <v>1</v>
      </c>
      <c r="L27" s="5">
        <v>1</v>
      </c>
    </row>
    <row r="28" spans="1:12" ht="23.05" customHeight="1">
      <c r="A28" s="4">
        <v>50</v>
      </c>
      <c r="B28" s="4" t="s">
        <v>46</v>
      </c>
      <c r="C28" s="4" t="s">
        <v>63</v>
      </c>
      <c r="D28" s="4" t="s">
        <v>64</v>
      </c>
      <c r="E28" s="4">
        <v>9739</v>
      </c>
      <c r="F28" s="7">
        <v>15.959544101037068</v>
      </c>
      <c r="G28" s="7">
        <v>0</v>
      </c>
      <c r="H28" s="7">
        <v>20</v>
      </c>
      <c r="I28" s="7">
        <v>30</v>
      </c>
      <c r="J28" s="7">
        <v>40</v>
      </c>
      <c r="K28" s="7">
        <v>40</v>
      </c>
      <c r="L28" s="7">
        <v>40</v>
      </c>
    </row>
    <row r="29" spans="1:12" ht="23.05" customHeight="1">
      <c r="A29" s="4">
        <v>50</v>
      </c>
      <c r="B29" s="4" t="s">
        <v>46</v>
      </c>
      <c r="C29" s="4" t="s">
        <v>65</v>
      </c>
      <c r="D29" s="4" t="s">
        <v>64</v>
      </c>
      <c r="E29" s="4">
        <v>9739</v>
      </c>
      <c r="F29" s="7">
        <v>29.252489988705207</v>
      </c>
      <c r="G29" s="7">
        <v>10</v>
      </c>
      <c r="H29" s="7">
        <v>20</v>
      </c>
      <c r="I29" s="7">
        <v>50</v>
      </c>
      <c r="J29" s="7">
        <v>50</v>
      </c>
      <c r="K29" s="7">
        <v>50</v>
      </c>
      <c r="L29" s="7">
        <v>50</v>
      </c>
    </row>
    <row r="30" spans="1:12" ht="23.05" customHeight="1">
      <c r="A30" s="4">
        <v>50</v>
      </c>
      <c r="B30" s="4" t="s">
        <v>46</v>
      </c>
      <c r="C30" s="4" t="s">
        <v>66</v>
      </c>
      <c r="D30" s="4" t="s">
        <v>64</v>
      </c>
      <c r="E30" s="4">
        <v>9739</v>
      </c>
      <c r="F30" s="7">
        <v>25.184175582708697</v>
      </c>
      <c r="G30" s="7">
        <v>0</v>
      </c>
      <c r="H30" s="7">
        <v>27.747</v>
      </c>
      <c r="I30" s="7">
        <v>48.404000000000003</v>
      </c>
      <c r="J30" s="7">
        <v>49.725000000000001</v>
      </c>
      <c r="K30" s="7">
        <v>49.982999999999997</v>
      </c>
      <c r="L30" s="7">
        <v>49.997999999999998</v>
      </c>
    </row>
    <row r="31" spans="1:12" ht="23.05" customHeight="1">
      <c r="A31" s="4">
        <v>50</v>
      </c>
      <c r="B31" s="4" t="s">
        <v>46</v>
      </c>
      <c r="C31" s="4" t="s">
        <v>67</v>
      </c>
      <c r="D31" s="4" t="s">
        <v>58</v>
      </c>
      <c r="E31" s="4">
        <v>9739</v>
      </c>
      <c r="F31" s="7">
        <v>249.80552418112742</v>
      </c>
      <c r="G31" s="7">
        <v>2</v>
      </c>
      <c r="H31" s="7">
        <v>14</v>
      </c>
      <c r="I31" s="7">
        <v>50</v>
      </c>
      <c r="J31" s="7">
        <v>790.40000000000146</v>
      </c>
      <c r="K31" s="7">
        <v>3320</v>
      </c>
      <c r="L31" s="7">
        <v>14116</v>
      </c>
    </row>
    <row r="32" spans="1:12" ht="23.05" customHeight="1">
      <c r="A32" s="4">
        <v>50</v>
      </c>
      <c r="B32" s="4" t="s">
        <v>46</v>
      </c>
      <c r="C32" s="4" t="s">
        <v>68</v>
      </c>
      <c r="D32" s="4" t="s">
        <v>62</v>
      </c>
      <c r="E32" s="4">
        <v>9739</v>
      </c>
      <c r="F32" s="5">
        <v>1</v>
      </c>
      <c r="G32" s="5">
        <v>1</v>
      </c>
      <c r="H32" s="5">
        <v>1</v>
      </c>
      <c r="I32" s="5">
        <v>1</v>
      </c>
      <c r="J32" s="5">
        <v>1</v>
      </c>
      <c r="K32" s="5">
        <v>1</v>
      </c>
      <c r="L32" s="5">
        <v>1</v>
      </c>
    </row>
    <row r="33" spans="1:12" ht="23.05" customHeight="1">
      <c r="A33" s="4">
        <v>50</v>
      </c>
      <c r="B33" s="4" t="s">
        <v>46</v>
      </c>
      <c r="C33" s="4" t="s">
        <v>69</v>
      </c>
      <c r="D33" s="4" t="s">
        <v>70</v>
      </c>
      <c r="E33" s="4">
        <v>9739</v>
      </c>
      <c r="F33" s="7">
        <v>3795285.2178868465</v>
      </c>
      <c r="G33" s="7">
        <v>960</v>
      </c>
      <c r="H33" s="7">
        <v>21975</v>
      </c>
      <c r="I33" s="7">
        <v>174135</v>
      </c>
      <c r="J33" s="7">
        <v>1941373.0000000016</v>
      </c>
      <c r="K33" s="7">
        <v>142396938.68000007</v>
      </c>
      <c r="L33" s="7">
        <v>491793280</v>
      </c>
    </row>
    <row r="34" spans="1:12" ht="23.05" customHeight="1">
      <c r="A34" s="4">
        <v>50</v>
      </c>
      <c r="B34" s="4" t="s">
        <v>46</v>
      </c>
      <c r="C34" s="4" t="s">
        <v>71</v>
      </c>
      <c r="D34" s="4" t="s">
        <v>72</v>
      </c>
      <c r="E34" s="4">
        <v>9739</v>
      </c>
      <c r="F34" s="7">
        <v>55354.775130916933</v>
      </c>
      <c r="G34" s="7">
        <v>8</v>
      </c>
      <c r="H34" s="7">
        <v>250</v>
      </c>
      <c r="I34" s="7">
        <v>2000</v>
      </c>
      <c r="J34" s="7">
        <v>11748.400000000001</v>
      </c>
      <c r="K34" s="7">
        <v>2250158.6800000085</v>
      </c>
      <c r="L34" s="7">
        <v>4583970</v>
      </c>
    </row>
    <row r="35" spans="1:12" ht="23.05" customHeight="1">
      <c r="A35" s="4">
        <v>50</v>
      </c>
      <c r="B35" s="4" t="s">
        <v>47</v>
      </c>
      <c r="C35" s="4" t="s">
        <v>58</v>
      </c>
      <c r="D35" s="4" t="s">
        <v>58</v>
      </c>
      <c r="E35" s="4">
        <v>6486</v>
      </c>
      <c r="F35" s="7">
        <v>54.348905334566759</v>
      </c>
      <c r="G35" s="7">
        <v>7</v>
      </c>
      <c r="H35" s="7">
        <v>18</v>
      </c>
      <c r="I35" s="7">
        <v>50</v>
      </c>
      <c r="J35" s="7">
        <v>111</v>
      </c>
      <c r="K35" s="7">
        <v>494.59999999999854</v>
      </c>
      <c r="L35" s="7">
        <v>5950</v>
      </c>
    </row>
    <row r="36" spans="1:12" ht="23.05" customHeight="1">
      <c r="A36" s="4">
        <v>50</v>
      </c>
      <c r="B36" s="4" t="s">
        <v>47</v>
      </c>
      <c r="C36" s="4" t="s">
        <v>59</v>
      </c>
      <c r="D36" s="4" t="s">
        <v>60</v>
      </c>
      <c r="E36" s="4">
        <v>6486</v>
      </c>
      <c r="F36" s="7">
        <v>3.0627505396238051</v>
      </c>
      <c r="G36" s="7">
        <v>2</v>
      </c>
      <c r="H36" s="7">
        <v>3</v>
      </c>
      <c r="I36" s="7">
        <v>4</v>
      </c>
      <c r="J36" s="7">
        <v>5</v>
      </c>
      <c r="K36" s="7">
        <v>5</v>
      </c>
      <c r="L36" s="7">
        <v>5</v>
      </c>
    </row>
    <row r="37" spans="1:12" ht="23.05" customHeight="1">
      <c r="A37" s="4">
        <v>50</v>
      </c>
      <c r="B37" s="4" t="s">
        <v>47</v>
      </c>
      <c r="C37" s="4" t="s">
        <v>61</v>
      </c>
      <c r="D37" s="4" t="s">
        <v>62</v>
      </c>
      <c r="E37" s="4">
        <v>6486</v>
      </c>
      <c r="F37" s="5">
        <v>0.61255010792476106</v>
      </c>
      <c r="G37" s="5">
        <v>0.4</v>
      </c>
      <c r="H37" s="5">
        <v>0.6</v>
      </c>
      <c r="I37" s="5">
        <v>0.8</v>
      </c>
      <c r="J37" s="5">
        <v>1</v>
      </c>
      <c r="K37" s="5">
        <v>1</v>
      </c>
      <c r="L37" s="5">
        <v>1</v>
      </c>
    </row>
    <row r="38" spans="1:12" ht="23.05" customHeight="1">
      <c r="A38" s="4">
        <v>50</v>
      </c>
      <c r="B38" s="4" t="s">
        <v>47</v>
      </c>
      <c r="C38" s="4" t="s">
        <v>63</v>
      </c>
      <c r="D38" s="4" t="s">
        <v>64</v>
      </c>
      <c r="E38" s="4">
        <v>6486</v>
      </c>
      <c r="F38" s="7">
        <v>15.04008633980882</v>
      </c>
      <c r="G38" s="7">
        <v>10</v>
      </c>
      <c r="H38" s="7">
        <v>10</v>
      </c>
      <c r="I38" s="7">
        <v>20</v>
      </c>
      <c r="J38" s="7">
        <v>30</v>
      </c>
      <c r="K38" s="7">
        <v>40</v>
      </c>
      <c r="L38" s="7">
        <v>40</v>
      </c>
    </row>
    <row r="39" spans="1:12" ht="23.05" customHeight="1">
      <c r="A39" s="4">
        <v>50</v>
      </c>
      <c r="B39" s="4" t="s">
        <v>47</v>
      </c>
      <c r="C39" s="4" t="s">
        <v>65</v>
      </c>
      <c r="D39" s="4" t="s">
        <v>64</v>
      </c>
      <c r="E39" s="4">
        <v>6486</v>
      </c>
      <c r="F39" s="7">
        <v>26.399938328707986</v>
      </c>
      <c r="G39" s="7">
        <v>10</v>
      </c>
      <c r="H39" s="7">
        <v>20</v>
      </c>
      <c r="I39" s="7">
        <v>40</v>
      </c>
      <c r="J39" s="7">
        <v>50</v>
      </c>
      <c r="K39" s="7">
        <v>50</v>
      </c>
      <c r="L39" s="7">
        <v>50</v>
      </c>
    </row>
    <row r="40" spans="1:12" ht="23.05" customHeight="1">
      <c r="A40" s="4">
        <v>50</v>
      </c>
      <c r="B40" s="4" t="s">
        <v>47</v>
      </c>
      <c r="C40" s="4" t="s">
        <v>66</v>
      </c>
      <c r="D40" s="4" t="s">
        <v>64</v>
      </c>
      <c r="E40" s="4">
        <v>6486</v>
      </c>
      <c r="F40" s="7">
        <v>27.92007724329325</v>
      </c>
      <c r="G40" s="7">
        <v>12.590249999999999</v>
      </c>
      <c r="H40" s="7">
        <v>31.2285</v>
      </c>
      <c r="I40" s="7">
        <v>42.592250000000007</v>
      </c>
      <c r="J40" s="7">
        <v>47.801500000000004</v>
      </c>
      <c r="K40" s="7">
        <v>49.695149999999998</v>
      </c>
      <c r="L40" s="7">
        <v>49.975000000000001</v>
      </c>
    </row>
    <row r="41" spans="1:12" ht="23.05" customHeight="1">
      <c r="A41" s="4">
        <v>50</v>
      </c>
      <c r="B41" s="4" t="s">
        <v>47</v>
      </c>
      <c r="C41" s="4" t="s">
        <v>67</v>
      </c>
      <c r="D41" s="4" t="s">
        <v>58</v>
      </c>
      <c r="E41" s="4">
        <v>6486</v>
      </c>
      <c r="F41" s="7">
        <v>25.90918902251002</v>
      </c>
      <c r="G41" s="7">
        <v>2</v>
      </c>
      <c r="H41" s="7">
        <v>6</v>
      </c>
      <c r="I41" s="7">
        <v>20</v>
      </c>
      <c r="J41" s="7">
        <v>50</v>
      </c>
      <c r="K41" s="7">
        <v>234.59999999999854</v>
      </c>
      <c r="L41" s="7">
        <v>4125</v>
      </c>
    </row>
    <row r="42" spans="1:12" ht="23.05" customHeight="1">
      <c r="A42" s="4">
        <v>50</v>
      </c>
      <c r="B42" s="4" t="s">
        <v>47</v>
      </c>
      <c r="C42" s="4" t="s">
        <v>68</v>
      </c>
      <c r="D42" s="4" t="s">
        <v>62</v>
      </c>
      <c r="E42" s="4">
        <v>6486</v>
      </c>
      <c r="F42" s="5">
        <v>0.48769080508367468</v>
      </c>
      <c r="G42" s="5">
        <v>0.2</v>
      </c>
      <c r="H42" s="5">
        <v>0.5</v>
      </c>
      <c r="I42" s="5">
        <v>0.75</v>
      </c>
      <c r="J42" s="5">
        <v>0.875</v>
      </c>
      <c r="K42" s="5">
        <v>0.96847041847041793</v>
      </c>
      <c r="L42" s="5">
        <v>0.99906015037593987</v>
      </c>
    </row>
    <row r="43" spans="1:12" ht="23.05" customHeight="1">
      <c r="A43" s="4">
        <v>50</v>
      </c>
      <c r="B43" s="4" t="s">
        <v>47</v>
      </c>
      <c r="C43" s="4" t="s">
        <v>69</v>
      </c>
      <c r="D43" s="4" t="s">
        <v>70</v>
      </c>
      <c r="E43" s="4">
        <v>6486</v>
      </c>
      <c r="F43" s="7">
        <v>146803.17946345976</v>
      </c>
      <c r="G43" s="7">
        <v>3318.25</v>
      </c>
      <c r="H43" s="7">
        <v>19802</v>
      </c>
      <c r="I43" s="7">
        <v>81083.5</v>
      </c>
      <c r="J43" s="7">
        <v>320447.5</v>
      </c>
      <c r="K43" s="7">
        <v>1612161.0999999954</v>
      </c>
      <c r="L43" s="7">
        <v>39733999</v>
      </c>
    </row>
    <row r="44" spans="1:12" ht="23.05" customHeight="1">
      <c r="A44" s="4">
        <v>50</v>
      </c>
      <c r="B44" s="4" t="s">
        <v>47</v>
      </c>
      <c r="C44" s="4" t="s">
        <v>71</v>
      </c>
      <c r="D44" s="4" t="s">
        <v>72</v>
      </c>
      <c r="E44" s="4">
        <v>6486</v>
      </c>
      <c r="F44" s="7">
        <v>495.03453592352759</v>
      </c>
      <c r="G44" s="7">
        <v>36</v>
      </c>
      <c r="H44" s="7">
        <v>124</v>
      </c>
      <c r="I44" s="7">
        <v>433.75</v>
      </c>
      <c r="J44" s="7">
        <v>1449</v>
      </c>
      <c r="K44" s="7">
        <v>4618.649999999996</v>
      </c>
      <c r="L44" s="7">
        <v>38980</v>
      </c>
    </row>
    <row r="45" spans="1:12" ht="23.05" customHeight="1">
      <c r="A45" s="4">
        <v>100</v>
      </c>
      <c r="B45" s="4" t="s">
        <v>57</v>
      </c>
      <c r="C45" s="4" t="s">
        <v>58</v>
      </c>
      <c r="D45" s="4" t="s">
        <v>58</v>
      </c>
      <c r="E45" s="4">
        <v>1466665</v>
      </c>
      <c r="F45" s="7">
        <v>13.715148994487494</v>
      </c>
      <c r="G45" s="7">
        <v>1</v>
      </c>
      <c r="H45" s="7">
        <v>3</v>
      </c>
      <c r="I45" s="7">
        <v>6</v>
      </c>
      <c r="J45" s="7">
        <v>26</v>
      </c>
      <c r="K45" s="7">
        <v>183</v>
      </c>
      <c r="L45" s="7">
        <v>14538</v>
      </c>
    </row>
    <row r="46" spans="1:12" ht="23.05" customHeight="1">
      <c r="A46" s="4">
        <v>100</v>
      </c>
      <c r="B46" s="4" t="s">
        <v>57</v>
      </c>
      <c r="C46" s="4" t="s">
        <v>59</v>
      </c>
      <c r="D46" s="4" t="s">
        <v>60</v>
      </c>
      <c r="E46" s="4">
        <v>1466665</v>
      </c>
      <c r="F46" s="7">
        <v>2.4940501068751213</v>
      </c>
      <c r="G46" s="7">
        <v>1</v>
      </c>
      <c r="H46" s="7">
        <v>1</v>
      </c>
      <c r="I46" s="7">
        <v>3</v>
      </c>
      <c r="J46" s="7">
        <v>6</v>
      </c>
      <c r="K46" s="7">
        <v>10</v>
      </c>
      <c r="L46" s="7">
        <v>10</v>
      </c>
    </row>
    <row r="47" spans="1:12" ht="23.05" customHeight="1">
      <c r="A47" s="4">
        <v>100</v>
      </c>
      <c r="B47" s="4" t="s">
        <v>57</v>
      </c>
      <c r="C47" s="4" t="s">
        <v>61</v>
      </c>
      <c r="D47" s="4" t="s">
        <v>62</v>
      </c>
      <c r="E47" s="4">
        <v>1466665</v>
      </c>
      <c r="F47" s="5">
        <v>0.24940501068751214</v>
      </c>
      <c r="G47" s="5">
        <v>0.1</v>
      </c>
      <c r="H47" s="5">
        <v>0.1</v>
      </c>
      <c r="I47" s="5">
        <v>0.3</v>
      </c>
      <c r="J47" s="5">
        <v>0.6</v>
      </c>
      <c r="K47" s="5">
        <v>1</v>
      </c>
      <c r="L47" s="5">
        <v>1</v>
      </c>
    </row>
    <row r="48" spans="1:12" ht="23.05" customHeight="1">
      <c r="A48" s="4">
        <v>100</v>
      </c>
      <c r="B48" s="4" t="s">
        <v>57</v>
      </c>
      <c r="C48" s="4" t="s">
        <v>63</v>
      </c>
      <c r="D48" s="4" t="s">
        <v>64</v>
      </c>
      <c r="E48" s="4">
        <v>1466665</v>
      </c>
      <c r="F48" s="7">
        <v>55.319108317168542</v>
      </c>
      <c r="G48" s="7">
        <v>40</v>
      </c>
      <c r="H48" s="7">
        <v>60</v>
      </c>
      <c r="I48" s="7">
        <v>70</v>
      </c>
      <c r="J48" s="7">
        <v>90</v>
      </c>
      <c r="K48" s="7">
        <v>90</v>
      </c>
      <c r="L48" s="7">
        <v>90</v>
      </c>
    </row>
    <row r="49" spans="1:12" ht="23.05" customHeight="1">
      <c r="A49" s="4">
        <v>100</v>
      </c>
      <c r="B49" s="4" t="s">
        <v>57</v>
      </c>
      <c r="C49" s="4" t="s">
        <v>65</v>
      </c>
      <c r="D49" s="4" t="s">
        <v>64</v>
      </c>
      <c r="E49" s="4">
        <v>1466665</v>
      </c>
      <c r="F49" s="7">
        <v>19.40283568504055</v>
      </c>
      <c r="G49" s="7">
        <v>10</v>
      </c>
      <c r="H49" s="7">
        <v>10</v>
      </c>
      <c r="I49" s="7">
        <v>20</v>
      </c>
      <c r="J49" s="7">
        <v>40</v>
      </c>
      <c r="K49" s="7">
        <v>100</v>
      </c>
      <c r="L49" s="7">
        <v>100</v>
      </c>
    </row>
    <row r="50" spans="1:12" ht="23.05" customHeight="1">
      <c r="A50" s="4">
        <v>100</v>
      </c>
      <c r="B50" s="4" t="s">
        <v>57</v>
      </c>
      <c r="C50" s="4" t="s">
        <v>66</v>
      </c>
      <c r="D50" s="4" t="s">
        <v>64</v>
      </c>
      <c r="E50" s="4">
        <v>1466665</v>
      </c>
      <c r="F50" s="7">
        <v>25.760310869216895</v>
      </c>
      <c r="G50" s="7">
        <v>0</v>
      </c>
      <c r="H50" s="7">
        <v>4.1040000000000001</v>
      </c>
      <c r="I50" s="7">
        <v>57.216000000000001</v>
      </c>
      <c r="J50" s="7">
        <v>84.906000000000006</v>
      </c>
      <c r="K50" s="7">
        <v>98.256</v>
      </c>
      <c r="L50" s="7">
        <v>99.995000000000005</v>
      </c>
    </row>
    <row r="51" spans="1:12" ht="23.05" customHeight="1">
      <c r="A51" s="4">
        <v>100</v>
      </c>
      <c r="B51" s="4" t="s">
        <v>57</v>
      </c>
      <c r="C51" s="4" t="s">
        <v>67</v>
      </c>
      <c r="D51" s="4" t="s">
        <v>58</v>
      </c>
      <c r="E51" s="4">
        <v>1466665</v>
      </c>
      <c r="F51" s="7">
        <v>1.7733449697101928</v>
      </c>
      <c r="G51" s="7">
        <v>0</v>
      </c>
      <c r="H51" s="7">
        <v>0</v>
      </c>
      <c r="I51" s="7">
        <v>0</v>
      </c>
      <c r="J51" s="7">
        <v>0</v>
      </c>
      <c r="K51" s="7">
        <v>0</v>
      </c>
      <c r="L51" s="7">
        <v>14538</v>
      </c>
    </row>
    <row r="52" spans="1:12" ht="23.05" customHeight="1">
      <c r="A52" s="4">
        <v>100</v>
      </c>
      <c r="B52" s="4" t="s">
        <v>57</v>
      </c>
      <c r="C52" s="4" t="s">
        <v>68</v>
      </c>
      <c r="D52" s="4" t="s">
        <v>62</v>
      </c>
      <c r="E52" s="4">
        <v>1466665</v>
      </c>
      <c r="F52" s="5">
        <v>5.5988869546926626E-3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1</v>
      </c>
    </row>
    <row r="53" spans="1:12" ht="23.05" customHeight="1">
      <c r="A53" s="4">
        <v>100</v>
      </c>
      <c r="B53" s="4" t="s">
        <v>57</v>
      </c>
      <c r="C53" s="4" t="s">
        <v>69</v>
      </c>
      <c r="D53" s="4" t="s">
        <v>70</v>
      </c>
      <c r="E53" s="4">
        <v>1466665</v>
      </c>
      <c r="F53" s="7">
        <v>105047.82835412314</v>
      </c>
      <c r="G53" s="7">
        <v>180</v>
      </c>
      <c r="H53" s="7">
        <v>2033</v>
      </c>
      <c r="I53" s="7">
        <v>6706</v>
      </c>
      <c r="J53" s="7">
        <v>47416.600000000093</v>
      </c>
      <c r="K53" s="7">
        <v>968526.04000001424</v>
      </c>
      <c r="L53" s="7">
        <v>526335042</v>
      </c>
    </row>
    <row r="54" spans="1:12" ht="23.05" customHeight="1">
      <c r="A54" s="4">
        <v>100</v>
      </c>
      <c r="B54" s="4" t="s">
        <v>57</v>
      </c>
      <c r="C54" s="4" t="s">
        <v>71</v>
      </c>
      <c r="D54" s="4" t="s">
        <v>72</v>
      </c>
      <c r="E54" s="4">
        <v>1466665</v>
      </c>
      <c r="F54" s="7">
        <v>539.48546191529761</v>
      </c>
      <c r="G54" s="7">
        <v>3</v>
      </c>
      <c r="H54" s="7">
        <v>22</v>
      </c>
      <c r="I54" s="7">
        <v>52</v>
      </c>
      <c r="J54" s="7">
        <v>246</v>
      </c>
      <c r="K54" s="7">
        <v>2787</v>
      </c>
      <c r="L54" s="7">
        <v>4583970</v>
      </c>
    </row>
    <row r="55" spans="1:12" ht="23.05" customHeight="1">
      <c r="A55" s="4">
        <v>100</v>
      </c>
      <c r="B55" s="4" t="s">
        <v>45</v>
      </c>
      <c r="C55" s="4" t="s">
        <v>58</v>
      </c>
      <c r="D55" s="4" t="s">
        <v>58</v>
      </c>
      <c r="E55" s="4">
        <v>1455747</v>
      </c>
      <c r="F55" s="7">
        <v>11.894172545091969</v>
      </c>
      <c r="G55" s="7">
        <v>1</v>
      </c>
      <c r="H55" s="7">
        <v>3</v>
      </c>
      <c r="I55" s="7">
        <v>6</v>
      </c>
      <c r="J55" s="7">
        <v>25</v>
      </c>
      <c r="K55" s="7">
        <v>172</v>
      </c>
      <c r="L55" s="7">
        <v>5078</v>
      </c>
    </row>
    <row r="56" spans="1:12" ht="23.05" customHeight="1">
      <c r="A56" s="4">
        <v>100</v>
      </c>
      <c r="B56" s="4" t="s">
        <v>45</v>
      </c>
      <c r="C56" s="4" t="s">
        <v>59</v>
      </c>
      <c r="D56" s="4" t="s">
        <v>60</v>
      </c>
      <c r="E56" s="4">
        <v>1455747</v>
      </c>
      <c r="F56" s="7">
        <v>2.4765457184524511</v>
      </c>
      <c r="G56" s="7">
        <v>1</v>
      </c>
      <c r="H56" s="7">
        <v>1</v>
      </c>
      <c r="I56" s="7">
        <v>3</v>
      </c>
      <c r="J56" s="7">
        <v>6</v>
      </c>
      <c r="K56" s="7">
        <v>10</v>
      </c>
      <c r="L56" s="7">
        <v>10</v>
      </c>
    </row>
    <row r="57" spans="1:12" ht="23.05" customHeight="1">
      <c r="A57" s="4">
        <v>100</v>
      </c>
      <c r="B57" s="4" t="s">
        <v>45</v>
      </c>
      <c r="C57" s="4" t="s">
        <v>61</v>
      </c>
      <c r="D57" s="4" t="s">
        <v>62</v>
      </c>
      <c r="E57" s="4">
        <v>1455747</v>
      </c>
      <c r="F57" s="5">
        <v>0.24765457184524511</v>
      </c>
      <c r="G57" s="5">
        <v>0.1</v>
      </c>
      <c r="H57" s="5">
        <v>0.1</v>
      </c>
      <c r="I57" s="5">
        <v>0.3</v>
      </c>
      <c r="J57" s="5">
        <v>0.6</v>
      </c>
      <c r="K57" s="5">
        <v>1</v>
      </c>
      <c r="L57" s="5">
        <v>1</v>
      </c>
    </row>
    <row r="58" spans="1:12" ht="23.05" customHeight="1">
      <c r="A58" s="4">
        <v>100</v>
      </c>
      <c r="B58" s="4" t="s">
        <v>45</v>
      </c>
      <c r="C58" s="4" t="s">
        <v>63</v>
      </c>
      <c r="D58" s="4" t="s">
        <v>64</v>
      </c>
      <c r="E58" s="4">
        <v>1455747</v>
      </c>
      <c r="F58" s="7">
        <v>55.460529886031019</v>
      </c>
      <c r="G58" s="7">
        <v>40</v>
      </c>
      <c r="H58" s="7">
        <v>60</v>
      </c>
      <c r="I58" s="7">
        <v>70</v>
      </c>
      <c r="J58" s="7">
        <v>90</v>
      </c>
      <c r="K58" s="7">
        <v>90</v>
      </c>
      <c r="L58" s="7">
        <v>90</v>
      </c>
    </row>
    <row r="59" spans="1:12" ht="23.05" customHeight="1">
      <c r="A59" s="4">
        <v>100</v>
      </c>
      <c r="B59" s="4" t="s">
        <v>45</v>
      </c>
      <c r="C59" s="4" t="s">
        <v>65</v>
      </c>
      <c r="D59" s="4" t="s">
        <v>64</v>
      </c>
      <c r="E59" s="4">
        <v>1455747</v>
      </c>
      <c r="F59" s="7">
        <v>19.243233886107959</v>
      </c>
      <c r="G59" s="7">
        <v>10</v>
      </c>
      <c r="H59" s="7">
        <v>10</v>
      </c>
      <c r="I59" s="7">
        <v>20</v>
      </c>
      <c r="J59" s="7">
        <v>40</v>
      </c>
      <c r="K59" s="7">
        <v>100</v>
      </c>
      <c r="L59" s="7">
        <v>100</v>
      </c>
    </row>
    <row r="60" spans="1:12" ht="23.05" customHeight="1">
      <c r="A60" s="4">
        <v>100</v>
      </c>
      <c r="B60" s="4" t="s">
        <v>45</v>
      </c>
      <c r="C60" s="4" t="s">
        <v>66</v>
      </c>
      <c r="D60" s="4" t="s">
        <v>64</v>
      </c>
      <c r="E60" s="4">
        <v>1455747</v>
      </c>
      <c r="F60" s="7">
        <v>25.55814780109456</v>
      </c>
      <c r="G60" s="7">
        <v>0</v>
      </c>
      <c r="H60" s="7">
        <v>4.0880000000000001</v>
      </c>
      <c r="I60" s="7">
        <v>56.58</v>
      </c>
      <c r="J60" s="7">
        <v>84.56</v>
      </c>
      <c r="K60" s="7">
        <v>98.097999999999999</v>
      </c>
      <c r="L60" s="7">
        <v>99.995000000000005</v>
      </c>
    </row>
    <row r="61" spans="1:12" ht="23.05" customHeight="1">
      <c r="A61" s="4">
        <v>100</v>
      </c>
      <c r="B61" s="4" t="s">
        <v>45</v>
      </c>
      <c r="C61" s="4" t="s">
        <v>67</v>
      </c>
      <c r="D61" s="4" t="s">
        <v>58</v>
      </c>
      <c r="E61" s="4">
        <v>1455747</v>
      </c>
      <c r="F61" s="7">
        <v>0</v>
      </c>
      <c r="G61" s="7">
        <v>0</v>
      </c>
      <c r="H61" s="7">
        <v>0</v>
      </c>
      <c r="I61" s="7">
        <v>0</v>
      </c>
      <c r="J61" s="7">
        <v>0</v>
      </c>
      <c r="K61" s="7">
        <v>0</v>
      </c>
      <c r="L61" s="7">
        <v>0</v>
      </c>
    </row>
    <row r="62" spans="1:12" ht="23.05" customHeight="1">
      <c r="A62" s="4">
        <v>100</v>
      </c>
      <c r="B62" s="4" t="s">
        <v>45</v>
      </c>
      <c r="C62" s="4" t="s">
        <v>68</v>
      </c>
      <c r="D62" s="4" t="s">
        <v>62</v>
      </c>
      <c r="E62" s="4">
        <v>1455747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</row>
    <row r="63" spans="1:12" ht="23.05" customHeight="1">
      <c r="A63" s="4">
        <v>100</v>
      </c>
      <c r="B63" s="4" t="s">
        <v>45</v>
      </c>
      <c r="C63" s="4" t="s">
        <v>69</v>
      </c>
      <c r="D63" s="4" t="s">
        <v>70</v>
      </c>
      <c r="E63" s="4">
        <v>1455747</v>
      </c>
      <c r="F63" s="7">
        <v>79742.500339001213</v>
      </c>
      <c r="G63" s="7">
        <v>174</v>
      </c>
      <c r="H63" s="7">
        <v>2033</v>
      </c>
      <c r="I63" s="7">
        <v>6666</v>
      </c>
      <c r="J63" s="7">
        <v>45147</v>
      </c>
      <c r="K63" s="7">
        <v>879090.50000000279</v>
      </c>
      <c r="L63" s="7">
        <v>169957521</v>
      </c>
    </row>
    <row r="64" spans="1:12" ht="23.05" customHeight="1">
      <c r="A64" s="4">
        <v>100</v>
      </c>
      <c r="B64" s="4" t="s">
        <v>45</v>
      </c>
      <c r="C64" s="4" t="s">
        <v>71</v>
      </c>
      <c r="D64" s="4" t="s">
        <v>72</v>
      </c>
      <c r="E64" s="4">
        <v>1455747</v>
      </c>
      <c r="F64" s="7">
        <v>170.85996124326547</v>
      </c>
      <c r="G64" s="7">
        <v>3</v>
      </c>
      <c r="H64" s="7">
        <v>22</v>
      </c>
      <c r="I64" s="7">
        <v>52</v>
      </c>
      <c r="J64" s="7">
        <v>235</v>
      </c>
      <c r="K64" s="7">
        <v>2511</v>
      </c>
      <c r="L64" s="7">
        <v>186463</v>
      </c>
    </row>
    <row r="65" spans="1:12" ht="23.05" customHeight="1">
      <c r="A65" s="4">
        <v>100</v>
      </c>
      <c r="B65" s="4" t="s">
        <v>46</v>
      </c>
      <c r="C65" s="4" t="s">
        <v>58</v>
      </c>
      <c r="D65" s="4" t="s">
        <v>58</v>
      </c>
      <c r="E65" s="4">
        <v>5708</v>
      </c>
      <c r="F65" s="7">
        <v>422.14523475823404</v>
      </c>
      <c r="G65" s="7">
        <v>2</v>
      </c>
      <c r="H65" s="7">
        <v>6</v>
      </c>
      <c r="I65" s="7">
        <v>100</v>
      </c>
      <c r="J65" s="7">
        <v>791</v>
      </c>
      <c r="K65" s="7">
        <v>6620</v>
      </c>
      <c r="L65" s="7">
        <v>14538</v>
      </c>
    </row>
    <row r="66" spans="1:12" ht="23.05" customHeight="1">
      <c r="A66" s="4">
        <v>100</v>
      </c>
      <c r="B66" s="4" t="s">
        <v>46</v>
      </c>
      <c r="C66" s="4" t="s">
        <v>59</v>
      </c>
      <c r="D66" s="4" t="s">
        <v>60</v>
      </c>
      <c r="E66" s="4">
        <v>5708</v>
      </c>
      <c r="F66" s="7">
        <v>4.6709880868955853</v>
      </c>
      <c r="G66" s="7">
        <v>1</v>
      </c>
      <c r="H66" s="7">
        <v>2</v>
      </c>
      <c r="I66" s="7">
        <v>10</v>
      </c>
      <c r="J66" s="7">
        <v>10</v>
      </c>
      <c r="K66" s="7">
        <v>10</v>
      </c>
      <c r="L66" s="7">
        <v>10</v>
      </c>
    </row>
    <row r="67" spans="1:12" ht="23.05" customHeight="1">
      <c r="A67" s="4">
        <v>100</v>
      </c>
      <c r="B67" s="4" t="s">
        <v>46</v>
      </c>
      <c r="C67" s="4" t="s">
        <v>61</v>
      </c>
      <c r="D67" s="4" t="s">
        <v>62</v>
      </c>
      <c r="E67" s="4">
        <v>5708</v>
      </c>
      <c r="F67" s="5">
        <v>0.4670988086895585</v>
      </c>
      <c r="G67" s="5">
        <v>0.1</v>
      </c>
      <c r="H67" s="5">
        <v>0.2</v>
      </c>
      <c r="I67" s="5">
        <v>1</v>
      </c>
      <c r="J67" s="5">
        <v>1</v>
      </c>
      <c r="K67" s="5">
        <v>1</v>
      </c>
      <c r="L67" s="5">
        <v>1</v>
      </c>
    </row>
    <row r="68" spans="1:12" ht="23.05" customHeight="1">
      <c r="A68" s="4">
        <v>100</v>
      </c>
      <c r="B68" s="4" t="s">
        <v>46</v>
      </c>
      <c r="C68" s="4" t="s">
        <v>63</v>
      </c>
      <c r="D68" s="4" t="s">
        <v>64</v>
      </c>
      <c r="E68" s="4">
        <v>5708</v>
      </c>
      <c r="F68" s="7">
        <v>40.457252978276102</v>
      </c>
      <c r="G68" s="7">
        <v>0</v>
      </c>
      <c r="H68" s="7">
        <v>50</v>
      </c>
      <c r="I68" s="7">
        <v>70</v>
      </c>
      <c r="J68" s="7">
        <v>90</v>
      </c>
      <c r="K68" s="7">
        <v>90</v>
      </c>
      <c r="L68" s="7">
        <v>90</v>
      </c>
    </row>
    <row r="69" spans="1:12" ht="23.05" customHeight="1">
      <c r="A69" s="4">
        <v>100</v>
      </c>
      <c r="B69" s="4" t="s">
        <v>46</v>
      </c>
      <c r="C69" s="4" t="s">
        <v>65</v>
      </c>
      <c r="D69" s="4" t="s">
        <v>64</v>
      </c>
      <c r="E69" s="4">
        <v>5708</v>
      </c>
      <c r="F69" s="7">
        <v>44.86510161177295</v>
      </c>
      <c r="G69" s="7">
        <v>10</v>
      </c>
      <c r="H69" s="7">
        <v>10</v>
      </c>
      <c r="I69" s="7">
        <v>100</v>
      </c>
      <c r="J69" s="7">
        <v>100</v>
      </c>
      <c r="K69" s="7">
        <v>100</v>
      </c>
      <c r="L69" s="7">
        <v>100</v>
      </c>
    </row>
    <row r="70" spans="1:12" ht="23.05" customHeight="1">
      <c r="A70" s="4">
        <v>100</v>
      </c>
      <c r="B70" s="4" t="s">
        <v>46</v>
      </c>
      <c r="C70" s="4" t="s">
        <v>66</v>
      </c>
      <c r="D70" s="4" t="s">
        <v>64</v>
      </c>
      <c r="E70" s="4">
        <v>5708</v>
      </c>
      <c r="F70" s="7">
        <v>44.862525753328661</v>
      </c>
      <c r="G70" s="7">
        <v>0</v>
      </c>
      <c r="H70" s="7">
        <v>22.081000000000003</v>
      </c>
      <c r="I70" s="7">
        <v>98.763000000000005</v>
      </c>
      <c r="J70" s="7">
        <v>99.695999999999998</v>
      </c>
      <c r="K70" s="7">
        <v>99.980930000000001</v>
      </c>
      <c r="L70" s="7">
        <v>99.995000000000005</v>
      </c>
    </row>
    <row r="71" spans="1:12" ht="23.05" customHeight="1">
      <c r="A71" s="4">
        <v>100</v>
      </c>
      <c r="B71" s="4" t="s">
        <v>46</v>
      </c>
      <c r="C71" s="4" t="s">
        <v>67</v>
      </c>
      <c r="D71" s="4" t="s">
        <v>58</v>
      </c>
      <c r="E71" s="4">
        <v>5708</v>
      </c>
      <c r="F71" s="7">
        <v>422.14523475823404</v>
      </c>
      <c r="G71" s="7">
        <v>2</v>
      </c>
      <c r="H71" s="7">
        <v>6</v>
      </c>
      <c r="I71" s="7">
        <v>100</v>
      </c>
      <c r="J71" s="7">
        <v>791</v>
      </c>
      <c r="K71" s="7">
        <v>6620</v>
      </c>
      <c r="L71" s="7">
        <v>14538</v>
      </c>
    </row>
    <row r="72" spans="1:12" ht="23.05" customHeight="1">
      <c r="A72" s="4">
        <v>100</v>
      </c>
      <c r="B72" s="4" t="s">
        <v>46</v>
      </c>
      <c r="C72" s="4" t="s">
        <v>68</v>
      </c>
      <c r="D72" s="4" t="s">
        <v>62</v>
      </c>
      <c r="E72" s="4">
        <v>5708</v>
      </c>
      <c r="F72" s="5">
        <v>1</v>
      </c>
      <c r="G72" s="5">
        <v>1</v>
      </c>
      <c r="H72" s="5">
        <v>1</v>
      </c>
      <c r="I72" s="5">
        <v>1</v>
      </c>
      <c r="J72" s="5">
        <v>1</v>
      </c>
      <c r="K72" s="5">
        <v>1</v>
      </c>
      <c r="L72" s="5">
        <v>1</v>
      </c>
    </row>
    <row r="73" spans="1:12" ht="23.05" customHeight="1">
      <c r="A73" s="4">
        <v>100</v>
      </c>
      <c r="B73" s="4" t="s">
        <v>46</v>
      </c>
      <c r="C73" s="4" t="s">
        <v>69</v>
      </c>
      <c r="D73" s="4" t="s">
        <v>70</v>
      </c>
      <c r="E73" s="4">
        <v>5708</v>
      </c>
      <c r="F73" s="7">
        <v>6471491.1634547999</v>
      </c>
      <c r="G73" s="7">
        <v>944</v>
      </c>
      <c r="H73" s="7">
        <v>6336</v>
      </c>
      <c r="I73" s="7">
        <v>260030</v>
      </c>
      <c r="J73" s="7">
        <v>4325779.3000000017</v>
      </c>
      <c r="K73" s="7">
        <v>154699166.40000007</v>
      </c>
      <c r="L73" s="7">
        <v>526335042</v>
      </c>
    </row>
    <row r="74" spans="1:12" ht="23.05" customHeight="1">
      <c r="A74" s="4">
        <v>100</v>
      </c>
      <c r="B74" s="4" t="s">
        <v>46</v>
      </c>
      <c r="C74" s="4" t="s">
        <v>71</v>
      </c>
      <c r="D74" s="4" t="s">
        <v>72</v>
      </c>
      <c r="E74" s="4">
        <v>5708</v>
      </c>
      <c r="F74" s="7">
        <v>94416.555185704274</v>
      </c>
      <c r="G74" s="7">
        <v>8</v>
      </c>
      <c r="H74" s="7">
        <v>36</v>
      </c>
      <c r="I74" s="7">
        <v>2062.5</v>
      </c>
      <c r="J74" s="7">
        <v>26032.700000000004</v>
      </c>
      <c r="K74" s="7">
        <v>2552491.120000002</v>
      </c>
      <c r="L74" s="7">
        <v>4583970</v>
      </c>
    </row>
    <row r="75" spans="1:12" ht="23.05" customHeight="1">
      <c r="A75" s="4">
        <v>100</v>
      </c>
      <c r="B75" s="4" t="s">
        <v>47</v>
      </c>
      <c r="C75" s="4" t="s">
        <v>58</v>
      </c>
      <c r="D75" s="4" t="s">
        <v>58</v>
      </c>
      <c r="E75" s="4">
        <v>5210</v>
      </c>
      <c r="F75" s="7">
        <v>75.051439539347413</v>
      </c>
      <c r="G75" s="7">
        <v>9</v>
      </c>
      <c r="H75" s="7">
        <v>24</v>
      </c>
      <c r="I75" s="7">
        <v>67</v>
      </c>
      <c r="J75" s="7">
        <v>169.10000000000036</v>
      </c>
      <c r="K75" s="7">
        <v>585.0099999999984</v>
      </c>
      <c r="L75" s="7">
        <v>7779</v>
      </c>
    </row>
    <row r="76" spans="1:12" ht="23.05" customHeight="1">
      <c r="A76" s="4">
        <v>100</v>
      </c>
      <c r="B76" s="4" t="s">
        <v>47</v>
      </c>
      <c r="C76" s="4" t="s">
        <v>59</v>
      </c>
      <c r="D76" s="4" t="s">
        <v>60</v>
      </c>
      <c r="E76" s="4">
        <v>5210</v>
      </c>
      <c r="F76" s="7">
        <v>5</v>
      </c>
      <c r="G76" s="7">
        <v>2</v>
      </c>
      <c r="H76" s="7">
        <v>4</v>
      </c>
      <c r="I76" s="7">
        <v>7</v>
      </c>
      <c r="J76" s="7">
        <v>10</v>
      </c>
      <c r="K76" s="7">
        <v>10</v>
      </c>
      <c r="L76" s="7">
        <v>10</v>
      </c>
    </row>
    <row r="77" spans="1:12" ht="23.05" customHeight="1">
      <c r="A77" s="4">
        <v>100</v>
      </c>
      <c r="B77" s="4" t="s">
        <v>47</v>
      </c>
      <c r="C77" s="4" t="s">
        <v>61</v>
      </c>
      <c r="D77" s="4" t="s">
        <v>62</v>
      </c>
      <c r="E77" s="4">
        <v>5210</v>
      </c>
      <c r="F77" s="5">
        <v>0.5</v>
      </c>
      <c r="G77" s="5">
        <v>0.2</v>
      </c>
      <c r="H77" s="5">
        <v>0.4</v>
      </c>
      <c r="I77" s="5">
        <v>0.7</v>
      </c>
      <c r="J77" s="5">
        <v>1</v>
      </c>
      <c r="K77" s="5">
        <v>1</v>
      </c>
      <c r="L77" s="5">
        <v>1</v>
      </c>
    </row>
    <row r="78" spans="1:12" ht="23.05" customHeight="1">
      <c r="A78" s="4">
        <v>100</v>
      </c>
      <c r="B78" s="4" t="s">
        <v>47</v>
      </c>
      <c r="C78" s="4" t="s">
        <v>63</v>
      </c>
      <c r="D78" s="4" t="s">
        <v>64</v>
      </c>
      <c r="E78" s="4">
        <v>5210</v>
      </c>
      <c r="F78" s="7">
        <v>32.086372360844528</v>
      </c>
      <c r="G78" s="7">
        <v>10</v>
      </c>
      <c r="H78" s="7">
        <v>30</v>
      </c>
      <c r="I78" s="7">
        <v>50</v>
      </c>
      <c r="J78" s="7">
        <v>70</v>
      </c>
      <c r="K78" s="7">
        <v>90</v>
      </c>
      <c r="L78" s="7">
        <v>90</v>
      </c>
    </row>
    <row r="79" spans="1:12" ht="23.05" customHeight="1">
      <c r="A79" s="4">
        <v>100</v>
      </c>
      <c r="B79" s="4" t="s">
        <v>47</v>
      </c>
      <c r="C79" s="4" t="s">
        <v>65</v>
      </c>
      <c r="D79" s="4" t="s">
        <v>64</v>
      </c>
      <c r="E79" s="4">
        <v>5210</v>
      </c>
      <c r="F79" s="7">
        <v>36.101727447216888</v>
      </c>
      <c r="G79" s="7">
        <v>10</v>
      </c>
      <c r="H79" s="7">
        <v>20</v>
      </c>
      <c r="I79" s="7">
        <v>50</v>
      </c>
      <c r="J79" s="7">
        <v>100</v>
      </c>
      <c r="K79" s="7">
        <v>100</v>
      </c>
      <c r="L79" s="7">
        <v>100</v>
      </c>
    </row>
    <row r="80" spans="1:12" ht="23.05" customHeight="1">
      <c r="A80" s="4">
        <v>100</v>
      </c>
      <c r="B80" s="4" t="s">
        <v>47</v>
      </c>
      <c r="C80" s="4" t="s">
        <v>66</v>
      </c>
      <c r="D80" s="4" t="s">
        <v>64</v>
      </c>
      <c r="E80" s="4">
        <v>5210</v>
      </c>
      <c r="F80" s="7">
        <v>61.319396737044137</v>
      </c>
      <c r="G80" s="7">
        <v>37.354749999999996</v>
      </c>
      <c r="H80" s="7">
        <v>70.719500000000011</v>
      </c>
      <c r="I80" s="7">
        <v>89.052999999999997</v>
      </c>
      <c r="J80" s="7">
        <v>96.597100000000012</v>
      </c>
      <c r="K80" s="7">
        <v>99.591909999999999</v>
      </c>
      <c r="L80" s="7">
        <v>99.936999999999998</v>
      </c>
    </row>
    <row r="81" spans="1:12" ht="23.05" customHeight="1">
      <c r="A81" s="4">
        <v>100</v>
      </c>
      <c r="B81" s="4" t="s">
        <v>47</v>
      </c>
      <c r="C81" s="4" t="s">
        <v>67</v>
      </c>
      <c r="D81" s="4" t="s">
        <v>58</v>
      </c>
      <c r="E81" s="4">
        <v>5210</v>
      </c>
      <c r="F81" s="7">
        <v>36.717466410748564</v>
      </c>
      <c r="G81" s="7">
        <v>2</v>
      </c>
      <c r="H81" s="7">
        <v>8</v>
      </c>
      <c r="I81" s="7">
        <v>30</v>
      </c>
      <c r="J81" s="7">
        <v>82.200000000000728</v>
      </c>
      <c r="K81" s="7">
        <v>398</v>
      </c>
      <c r="L81" s="7">
        <v>4227</v>
      </c>
    </row>
    <row r="82" spans="1:12" ht="23.05" customHeight="1">
      <c r="A82" s="4">
        <v>100</v>
      </c>
      <c r="B82" s="4" t="s">
        <v>47</v>
      </c>
      <c r="C82" s="4" t="s">
        <v>68</v>
      </c>
      <c r="D82" s="4" t="s">
        <v>62</v>
      </c>
      <c r="E82" s="4">
        <v>5210</v>
      </c>
      <c r="F82" s="5">
        <v>0.48055499719852485</v>
      </c>
      <c r="G82" s="5">
        <v>0.16666666666666666</v>
      </c>
      <c r="H82" s="5">
        <v>0.5</v>
      </c>
      <c r="I82" s="5">
        <v>0.75</v>
      </c>
      <c r="J82" s="5">
        <v>0.88235294117647056</v>
      </c>
      <c r="K82" s="5">
        <v>0.98039215686274506</v>
      </c>
      <c r="L82" s="5">
        <v>0.99909990999099907</v>
      </c>
    </row>
    <row r="83" spans="1:12" ht="23.05" customHeight="1">
      <c r="A83" s="4">
        <v>100</v>
      </c>
      <c r="B83" s="4" t="s">
        <v>47</v>
      </c>
      <c r="C83" s="4" t="s">
        <v>69</v>
      </c>
      <c r="D83" s="4" t="s">
        <v>70</v>
      </c>
      <c r="E83" s="4">
        <v>5210</v>
      </c>
      <c r="F83" s="7">
        <v>200728.59328214973</v>
      </c>
      <c r="G83" s="7">
        <v>3356</v>
      </c>
      <c r="H83" s="7">
        <v>19091</v>
      </c>
      <c r="I83" s="7">
        <v>115803.25</v>
      </c>
      <c r="J83" s="7">
        <v>494338.00000000041</v>
      </c>
      <c r="K83" s="7">
        <v>1864130.839999995</v>
      </c>
      <c r="L83" s="7">
        <v>40840924</v>
      </c>
    </row>
    <row r="84" spans="1:12" ht="23.05" customHeight="1">
      <c r="A84" s="4">
        <v>100</v>
      </c>
      <c r="B84" s="4" t="s">
        <v>47</v>
      </c>
      <c r="C84" s="4" t="s">
        <v>71</v>
      </c>
      <c r="D84" s="4" t="s">
        <v>72</v>
      </c>
      <c r="E84" s="4">
        <v>5210</v>
      </c>
      <c r="F84" s="7">
        <v>688.26717850287912</v>
      </c>
      <c r="G84" s="7">
        <v>34</v>
      </c>
      <c r="H84" s="7">
        <v>150</v>
      </c>
      <c r="I84" s="7">
        <v>642</v>
      </c>
      <c r="J84" s="7">
        <v>2074.4000000000015</v>
      </c>
      <c r="K84" s="7">
        <v>5870.7499999999964</v>
      </c>
      <c r="L84" s="7">
        <v>39300</v>
      </c>
    </row>
    <row r="85" spans="1:12" ht="23.05" customHeight="1">
      <c r="A85" s="4">
        <v>200</v>
      </c>
      <c r="B85" s="4" t="s">
        <v>57</v>
      </c>
      <c r="C85" s="4" t="s">
        <v>58</v>
      </c>
      <c r="D85" s="4" t="s">
        <v>58</v>
      </c>
      <c r="E85" s="4">
        <v>1114680</v>
      </c>
      <c r="F85" s="7">
        <v>18.046012308465208</v>
      </c>
      <c r="G85" s="7">
        <v>1</v>
      </c>
      <c r="H85" s="7">
        <v>3</v>
      </c>
      <c r="I85" s="7">
        <v>6</v>
      </c>
      <c r="J85" s="7">
        <v>38</v>
      </c>
      <c r="K85" s="7">
        <v>240</v>
      </c>
      <c r="L85" s="7">
        <v>26371</v>
      </c>
    </row>
    <row r="86" spans="1:12" ht="23.05" customHeight="1">
      <c r="A86" s="4">
        <v>200</v>
      </c>
      <c r="B86" s="4" t="s">
        <v>57</v>
      </c>
      <c r="C86" s="4" t="s">
        <v>59</v>
      </c>
      <c r="D86" s="4" t="s">
        <v>60</v>
      </c>
      <c r="E86" s="4">
        <v>1114680</v>
      </c>
      <c r="F86" s="7">
        <v>3.2816018947141781</v>
      </c>
      <c r="G86" s="7">
        <v>1</v>
      </c>
      <c r="H86" s="7">
        <v>1</v>
      </c>
      <c r="I86" s="7">
        <v>3</v>
      </c>
      <c r="J86" s="7">
        <v>9</v>
      </c>
      <c r="K86" s="7">
        <v>20</v>
      </c>
      <c r="L86" s="7">
        <v>20</v>
      </c>
    </row>
    <row r="87" spans="1:12" ht="23.05" customHeight="1">
      <c r="A87" s="4">
        <v>200</v>
      </c>
      <c r="B87" s="4" t="s">
        <v>57</v>
      </c>
      <c r="C87" s="4" t="s">
        <v>61</v>
      </c>
      <c r="D87" s="4" t="s">
        <v>62</v>
      </c>
      <c r="E87" s="4">
        <v>1114680</v>
      </c>
      <c r="F87" s="5">
        <v>0.16408009473570889</v>
      </c>
      <c r="G87" s="5">
        <v>0.05</v>
      </c>
      <c r="H87" s="5">
        <v>0.05</v>
      </c>
      <c r="I87" s="5">
        <v>0.15</v>
      </c>
      <c r="J87" s="5">
        <v>0.45</v>
      </c>
      <c r="K87" s="5">
        <v>1</v>
      </c>
      <c r="L87" s="5">
        <v>1</v>
      </c>
    </row>
    <row r="88" spans="1:12" ht="23.05" customHeight="1">
      <c r="A88" s="4">
        <v>200</v>
      </c>
      <c r="B88" s="4" t="s">
        <v>57</v>
      </c>
      <c r="C88" s="4" t="s">
        <v>63</v>
      </c>
      <c r="D88" s="4" t="s">
        <v>64</v>
      </c>
      <c r="E88" s="4">
        <v>1114680</v>
      </c>
      <c r="F88" s="7">
        <v>116.68981232281911</v>
      </c>
      <c r="G88" s="7">
        <v>90</v>
      </c>
      <c r="H88" s="7">
        <v>120</v>
      </c>
      <c r="I88" s="7">
        <v>160</v>
      </c>
      <c r="J88" s="7">
        <v>180</v>
      </c>
      <c r="K88" s="7">
        <v>190</v>
      </c>
      <c r="L88" s="7">
        <v>190</v>
      </c>
    </row>
    <row r="89" spans="1:12" ht="23.05" customHeight="1">
      <c r="A89" s="4">
        <v>200</v>
      </c>
      <c r="B89" s="4" t="s">
        <v>57</v>
      </c>
      <c r="C89" s="4" t="s">
        <v>65</v>
      </c>
      <c r="D89" s="4" t="s">
        <v>64</v>
      </c>
      <c r="E89" s="4">
        <v>1114680</v>
      </c>
      <c r="F89" s="7">
        <v>21.554625542756664</v>
      </c>
      <c r="G89" s="7">
        <v>10</v>
      </c>
      <c r="H89" s="7">
        <v>10</v>
      </c>
      <c r="I89" s="7">
        <v>20</v>
      </c>
      <c r="J89" s="7">
        <v>40</v>
      </c>
      <c r="K89" s="7">
        <v>200</v>
      </c>
      <c r="L89" s="7">
        <v>200</v>
      </c>
    </row>
    <row r="90" spans="1:12" ht="23.05" customHeight="1">
      <c r="A90" s="4">
        <v>200</v>
      </c>
      <c r="B90" s="4" t="s">
        <v>57</v>
      </c>
      <c r="C90" s="4" t="s">
        <v>66</v>
      </c>
      <c r="D90" s="4" t="s">
        <v>64</v>
      </c>
      <c r="E90" s="4">
        <v>1114680</v>
      </c>
      <c r="F90" s="7">
        <v>49.92415520418416</v>
      </c>
      <c r="G90" s="7">
        <v>0</v>
      </c>
      <c r="H90" s="7">
        <v>4.1239999999999997</v>
      </c>
      <c r="I90" s="7">
        <v>111.67025000000001</v>
      </c>
      <c r="J90" s="7">
        <v>176.99799999999999</v>
      </c>
      <c r="K90" s="7">
        <v>197.52699999999999</v>
      </c>
      <c r="L90" s="7">
        <v>199.995</v>
      </c>
    </row>
    <row r="91" spans="1:12" ht="23.05" customHeight="1">
      <c r="A91" s="4">
        <v>200</v>
      </c>
      <c r="B91" s="4" t="s">
        <v>57</v>
      </c>
      <c r="C91" s="4" t="s">
        <v>67</v>
      </c>
      <c r="D91" s="4" t="s">
        <v>58</v>
      </c>
      <c r="E91" s="4">
        <v>1114680</v>
      </c>
      <c r="F91" s="7">
        <v>2.3333180823195896</v>
      </c>
      <c r="G91" s="7">
        <v>0</v>
      </c>
      <c r="H91" s="7">
        <v>0</v>
      </c>
      <c r="I91" s="7">
        <v>0</v>
      </c>
      <c r="J91" s="7">
        <v>0</v>
      </c>
      <c r="K91" s="7">
        <v>0</v>
      </c>
      <c r="L91" s="7">
        <v>26371</v>
      </c>
    </row>
    <row r="92" spans="1:12" ht="23.05" customHeight="1">
      <c r="A92" s="4">
        <v>200</v>
      </c>
      <c r="B92" s="4" t="s">
        <v>57</v>
      </c>
      <c r="C92" s="4" t="s">
        <v>68</v>
      </c>
      <c r="D92" s="4" t="s">
        <v>62</v>
      </c>
      <c r="E92" s="4">
        <v>1114680</v>
      </c>
      <c r="F92" s="5">
        <v>4.6112929309161934E-3</v>
      </c>
      <c r="G92" s="5">
        <v>0</v>
      </c>
      <c r="H92" s="5">
        <v>0</v>
      </c>
      <c r="I92" s="5">
        <v>0</v>
      </c>
      <c r="J92" s="5">
        <v>0</v>
      </c>
      <c r="K92" s="5">
        <v>0</v>
      </c>
      <c r="L92" s="5">
        <v>1</v>
      </c>
    </row>
    <row r="93" spans="1:12" ht="23.05" customHeight="1">
      <c r="A93" s="4">
        <v>200</v>
      </c>
      <c r="B93" s="4" t="s">
        <v>57</v>
      </c>
      <c r="C93" s="4" t="s">
        <v>69</v>
      </c>
      <c r="D93" s="4" t="s">
        <v>70</v>
      </c>
      <c r="E93" s="4">
        <v>1114680</v>
      </c>
      <c r="F93" s="7">
        <v>138219.01637510318</v>
      </c>
      <c r="G93" s="7">
        <v>120</v>
      </c>
      <c r="H93" s="7">
        <v>2033</v>
      </c>
      <c r="I93" s="7">
        <v>6034</v>
      </c>
      <c r="J93" s="7">
        <v>65304</v>
      </c>
      <c r="K93" s="7">
        <v>1282291.9199999981</v>
      </c>
      <c r="L93" s="7">
        <v>952044437</v>
      </c>
    </row>
    <row r="94" spans="1:12" ht="23.05" customHeight="1">
      <c r="A94" s="4">
        <v>200</v>
      </c>
      <c r="B94" s="4" t="s">
        <v>57</v>
      </c>
      <c r="C94" s="4" t="s">
        <v>71</v>
      </c>
      <c r="D94" s="4" t="s">
        <v>72</v>
      </c>
      <c r="E94" s="4">
        <v>1114680</v>
      </c>
      <c r="F94" s="7">
        <v>709.83999443786558</v>
      </c>
      <c r="G94" s="7">
        <v>2</v>
      </c>
      <c r="H94" s="7">
        <v>24</v>
      </c>
      <c r="I94" s="7">
        <v>53</v>
      </c>
      <c r="J94" s="7">
        <v>345</v>
      </c>
      <c r="K94" s="7">
        <v>3612.2099999999627</v>
      </c>
      <c r="L94" s="7">
        <v>6935452</v>
      </c>
    </row>
    <row r="95" spans="1:12" ht="23.05" customHeight="1">
      <c r="A95" s="4">
        <v>200</v>
      </c>
      <c r="B95" s="4" t="s">
        <v>45</v>
      </c>
      <c r="C95" s="4" t="s">
        <v>58</v>
      </c>
      <c r="D95" s="4" t="s">
        <v>58</v>
      </c>
      <c r="E95" s="4">
        <v>1107376</v>
      </c>
      <c r="F95" s="7">
        <v>15.611634169423935</v>
      </c>
      <c r="G95" s="7">
        <v>1</v>
      </c>
      <c r="H95" s="7">
        <v>3</v>
      </c>
      <c r="I95" s="7">
        <v>6</v>
      </c>
      <c r="J95" s="7">
        <v>37</v>
      </c>
      <c r="K95" s="7">
        <v>230</v>
      </c>
      <c r="L95" s="7">
        <v>4173</v>
      </c>
    </row>
    <row r="96" spans="1:12" ht="23.05" customHeight="1">
      <c r="A96" s="4">
        <v>200</v>
      </c>
      <c r="B96" s="4" t="s">
        <v>45</v>
      </c>
      <c r="C96" s="4" t="s">
        <v>59</v>
      </c>
      <c r="D96" s="4" t="s">
        <v>60</v>
      </c>
      <c r="E96" s="4">
        <v>1107376</v>
      </c>
      <c r="F96" s="7">
        <v>3.2510538425972748</v>
      </c>
      <c r="G96" s="7">
        <v>1</v>
      </c>
      <c r="H96" s="7">
        <v>1</v>
      </c>
      <c r="I96" s="7">
        <v>3</v>
      </c>
      <c r="J96" s="7">
        <v>8</v>
      </c>
      <c r="K96" s="7">
        <v>20</v>
      </c>
      <c r="L96" s="7">
        <v>20</v>
      </c>
    </row>
    <row r="97" spans="1:12" ht="23.05" customHeight="1">
      <c r="A97" s="4">
        <v>200</v>
      </c>
      <c r="B97" s="4" t="s">
        <v>45</v>
      </c>
      <c r="C97" s="4" t="s">
        <v>61</v>
      </c>
      <c r="D97" s="4" t="s">
        <v>62</v>
      </c>
      <c r="E97" s="4">
        <v>1107376</v>
      </c>
      <c r="F97" s="5">
        <v>0.16255269212986376</v>
      </c>
      <c r="G97" s="5">
        <v>0.05</v>
      </c>
      <c r="H97" s="5">
        <v>0.05</v>
      </c>
      <c r="I97" s="5">
        <v>0.15</v>
      </c>
      <c r="J97" s="5">
        <v>0.4</v>
      </c>
      <c r="K97" s="5">
        <v>1</v>
      </c>
      <c r="L97" s="5">
        <v>1</v>
      </c>
    </row>
    <row r="98" spans="1:12" ht="23.05" customHeight="1">
      <c r="A98" s="4">
        <v>200</v>
      </c>
      <c r="B98" s="4" t="s">
        <v>45</v>
      </c>
      <c r="C98" s="4" t="s">
        <v>63</v>
      </c>
      <c r="D98" s="4" t="s">
        <v>64</v>
      </c>
      <c r="E98" s="4">
        <v>1107376</v>
      </c>
      <c r="F98" s="7">
        <v>116.96376840386644</v>
      </c>
      <c r="G98" s="7">
        <v>90</v>
      </c>
      <c r="H98" s="7">
        <v>120</v>
      </c>
      <c r="I98" s="7">
        <v>160</v>
      </c>
      <c r="J98" s="7">
        <v>180</v>
      </c>
      <c r="K98" s="7">
        <v>190</v>
      </c>
      <c r="L98" s="7">
        <v>190</v>
      </c>
    </row>
    <row r="99" spans="1:12" ht="23.05" customHeight="1">
      <c r="A99" s="4">
        <v>200</v>
      </c>
      <c r="B99" s="4" t="s">
        <v>45</v>
      </c>
      <c r="C99" s="4" t="s">
        <v>65</v>
      </c>
      <c r="D99" s="4" t="s">
        <v>64</v>
      </c>
      <c r="E99" s="4">
        <v>1107376</v>
      </c>
      <c r="F99" s="7">
        <v>21.313709164728149</v>
      </c>
      <c r="G99" s="7">
        <v>10</v>
      </c>
      <c r="H99" s="7">
        <v>10</v>
      </c>
      <c r="I99" s="7">
        <v>20</v>
      </c>
      <c r="J99" s="7">
        <v>40</v>
      </c>
      <c r="K99" s="7">
        <v>200</v>
      </c>
      <c r="L99" s="7">
        <v>200</v>
      </c>
    </row>
    <row r="100" spans="1:12" ht="23.05" customHeight="1">
      <c r="A100" s="4">
        <v>200</v>
      </c>
      <c r="B100" s="4" t="s">
        <v>45</v>
      </c>
      <c r="C100" s="4" t="s">
        <v>66</v>
      </c>
      <c r="D100" s="4" t="s">
        <v>64</v>
      </c>
      <c r="E100" s="4">
        <v>1107376</v>
      </c>
      <c r="F100" s="7">
        <v>49.513947908388843</v>
      </c>
      <c r="G100" s="7">
        <v>0</v>
      </c>
      <c r="H100" s="7">
        <v>4.1079999999999997</v>
      </c>
      <c r="I100" s="7">
        <v>110.14025000000001</v>
      </c>
      <c r="J100" s="7">
        <v>176.40199999999999</v>
      </c>
      <c r="K100" s="7">
        <v>197.36199999999999</v>
      </c>
      <c r="L100" s="7">
        <v>199.99199999999999</v>
      </c>
    </row>
    <row r="101" spans="1:12" ht="23.05" customHeight="1">
      <c r="A101" s="4">
        <v>200</v>
      </c>
      <c r="B101" s="4" t="s">
        <v>45</v>
      </c>
      <c r="C101" s="4" t="s">
        <v>67</v>
      </c>
      <c r="D101" s="4" t="s">
        <v>58</v>
      </c>
      <c r="E101" s="4">
        <v>1107376</v>
      </c>
      <c r="F101" s="7">
        <v>0</v>
      </c>
      <c r="G101" s="7">
        <v>0</v>
      </c>
      <c r="H101" s="7">
        <v>0</v>
      </c>
      <c r="I101" s="7">
        <v>0</v>
      </c>
      <c r="J101" s="7">
        <v>0</v>
      </c>
      <c r="K101" s="7">
        <v>0</v>
      </c>
      <c r="L101" s="7">
        <v>0</v>
      </c>
    </row>
    <row r="102" spans="1:12" ht="23.05" customHeight="1">
      <c r="A102" s="4">
        <v>200</v>
      </c>
      <c r="B102" s="4" t="s">
        <v>45</v>
      </c>
      <c r="C102" s="4" t="s">
        <v>68</v>
      </c>
      <c r="D102" s="4" t="s">
        <v>62</v>
      </c>
      <c r="E102" s="4">
        <v>1107376</v>
      </c>
      <c r="F102" s="5">
        <v>0</v>
      </c>
      <c r="G102" s="5">
        <v>0</v>
      </c>
      <c r="H102" s="5">
        <v>0</v>
      </c>
      <c r="I102" s="5">
        <v>0</v>
      </c>
      <c r="J102" s="5">
        <v>0</v>
      </c>
      <c r="K102" s="5">
        <v>0</v>
      </c>
      <c r="L102" s="5">
        <v>0</v>
      </c>
    </row>
    <row r="103" spans="1:12" ht="23.05" customHeight="1">
      <c r="A103" s="4">
        <v>200</v>
      </c>
      <c r="B103" s="4" t="s">
        <v>45</v>
      </c>
      <c r="C103" s="4" t="s">
        <v>69</v>
      </c>
      <c r="D103" s="4" t="s">
        <v>70</v>
      </c>
      <c r="E103" s="4">
        <v>1107376</v>
      </c>
      <c r="F103" s="7">
        <v>104782.67571899698</v>
      </c>
      <c r="G103" s="7">
        <v>120</v>
      </c>
      <c r="H103" s="7">
        <v>2033</v>
      </c>
      <c r="I103" s="7">
        <v>5715</v>
      </c>
      <c r="J103" s="7">
        <v>62608</v>
      </c>
      <c r="K103" s="7">
        <v>1202426.75</v>
      </c>
      <c r="L103" s="7">
        <v>196112505</v>
      </c>
    </row>
    <row r="104" spans="1:12" ht="23.05" customHeight="1">
      <c r="A104" s="4">
        <v>200</v>
      </c>
      <c r="B104" s="4" t="s">
        <v>45</v>
      </c>
      <c r="C104" s="4" t="s">
        <v>71</v>
      </c>
      <c r="D104" s="4" t="s">
        <v>72</v>
      </c>
      <c r="E104" s="4">
        <v>1107376</v>
      </c>
      <c r="F104" s="7">
        <v>224.38008770282181</v>
      </c>
      <c r="G104" s="7">
        <v>2</v>
      </c>
      <c r="H104" s="7">
        <v>24</v>
      </c>
      <c r="I104" s="7">
        <v>51</v>
      </c>
      <c r="J104" s="7">
        <v>333</v>
      </c>
      <c r="K104" s="7">
        <v>3359</v>
      </c>
      <c r="L104" s="7">
        <v>211982</v>
      </c>
    </row>
    <row r="105" spans="1:12" ht="23.05" customHeight="1">
      <c r="A105" s="4">
        <v>200</v>
      </c>
      <c r="B105" s="4" t="s">
        <v>46</v>
      </c>
      <c r="C105" s="4" t="s">
        <v>58</v>
      </c>
      <c r="D105" s="4" t="s">
        <v>58</v>
      </c>
      <c r="E105" s="4">
        <v>3281</v>
      </c>
      <c r="F105" s="7">
        <v>727.20359646449253</v>
      </c>
      <c r="G105" s="7">
        <v>2</v>
      </c>
      <c r="H105" s="7">
        <v>4</v>
      </c>
      <c r="I105" s="7">
        <v>198</v>
      </c>
      <c r="J105" s="7">
        <v>1566</v>
      </c>
      <c r="K105" s="7">
        <v>12926.39999999994</v>
      </c>
      <c r="L105" s="7">
        <v>26371</v>
      </c>
    </row>
    <row r="106" spans="1:12" ht="23.05" customHeight="1">
      <c r="A106" s="4">
        <v>200</v>
      </c>
      <c r="B106" s="4" t="s">
        <v>46</v>
      </c>
      <c r="C106" s="4" t="s">
        <v>59</v>
      </c>
      <c r="D106" s="4" t="s">
        <v>60</v>
      </c>
      <c r="E106" s="4">
        <v>3281</v>
      </c>
      <c r="F106" s="7">
        <v>7.2864980188966779</v>
      </c>
      <c r="G106" s="7">
        <v>1</v>
      </c>
      <c r="H106" s="7">
        <v>2</v>
      </c>
      <c r="I106" s="7">
        <v>20</v>
      </c>
      <c r="J106" s="7">
        <v>20</v>
      </c>
      <c r="K106" s="7">
        <v>20</v>
      </c>
      <c r="L106" s="7">
        <v>20</v>
      </c>
    </row>
    <row r="107" spans="1:12" ht="23.05" customHeight="1">
      <c r="A107" s="4">
        <v>200</v>
      </c>
      <c r="B107" s="4" t="s">
        <v>46</v>
      </c>
      <c r="C107" s="4" t="s">
        <v>61</v>
      </c>
      <c r="D107" s="4" t="s">
        <v>62</v>
      </c>
      <c r="E107" s="4">
        <v>3281</v>
      </c>
      <c r="F107" s="5">
        <v>0.36432490094483388</v>
      </c>
      <c r="G107" s="5">
        <v>0.05</v>
      </c>
      <c r="H107" s="5">
        <v>0.1</v>
      </c>
      <c r="I107" s="5">
        <v>1</v>
      </c>
      <c r="J107" s="5">
        <v>1</v>
      </c>
      <c r="K107" s="5">
        <v>1</v>
      </c>
      <c r="L107" s="5">
        <v>1</v>
      </c>
    </row>
    <row r="108" spans="1:12" ht="23.05" customHeight="1">
      <c r="A108" s="4">
        <v>200</v>
      </c>
      <c r="B108" s="4" t="s">
        <v>46</v>
      </c>
      <c r="C108" s="4" t="s">
        <v>63</v>
      </c>
      <c r="D108" s="4" t="s">
        <v>64</v>
      </c>
      <c r="E108" s="4">
        <v>3281</v>
      </c>
      <c r="F108" s="7">
        <v>90.198110332215791</v>
      </c>
      <c r="G108" s="7">
        <v>0</v>
      </c>
      <c r="H108" s="7">
        <v>110</v>
      </c>
      <c r="I108" s="7">
        <v>150</v>
      </c>
      <c r="J108" s="7">
        <v>170</v>
      </c>
      <c r="K108" s="7">
        <v>190</v>
      </c>
      <c r="L108" s="7">
        <v>190</v>
      </c>
    </row>
    <row r="109" spans="1:12" ht="23.05" customHeight="1">
      <c r="A109" s="4">
        <v>200</v>
      </c>
      <c r="B109" s="4" t="s">
        <v>46</v>
      </c>
      <c r="C109" s="4" t="s">
        <v>65</v>
      </c>
      <c r="D109" s="4" t="s">
        <v>64</v>
      </c>
      <c r="E109" s="4">
        <v>3281</v>
      </c>
      <c r="F109" s="7">
        <v>68.67418469978665</v>
      </c>
      <c r="G109" s="7">
        <v>10</v>
      </c>
      <c r="H109" s="7">
        <v>10</v>
      </c>
      <c r="I109" s="7">
        <v>200</v>
      </c>
      <c r="J109" s="7">
        <v>200</v>
      </c>
      <c r="K109" s="7">
        <v>200</v>
      </c>
      <c r="L109" s="7">
        <v>200</v>
      </c>
    </row>
    <row r="110" spans="1:12" ht="23.05" customHeight="1">
      <c r="A110" s="4">
        <v>200</v>
      </c>
      <c r="B110" s="4" t="s">
        <v>46</v>
      </c>
      <c r="C110" s="4" t="s">
        <v>66</v>
      </c>
      <c r="D110" s="4" t="s">
        <v>64</v>
      </c>
      <c r="E110" s="4">
        <v>3281</v>
      </c>
      <c r="F110" s="7">
        <v>85.232876257238644</v>
      </c>
      <c r="G110" s="7">
        <v>0</v>
      </c>
      <c r="H110" s="7">
        <v>36.588000000000001</v>
      </c>
      <c r="I110" s="7">
        <v>197.541</v>
      </c>
      <c r="J110" s="7">
        <v>199.58500000000001</v>
      </c>
      <c r="K110" s="7">
        <v>199.97740000000002</v>
      </c>
      <c r="L110" s="7">
        <v>199.995</v>
      </c>
    </row>
    <row r="111" spans="1:12" ht="23.05" customHeight="1">
      <c r="A111" s="4">
        <v>200</v>
      </c>
      <c r="B111" s="4" t="s">
        <v>46</v>
      </c>
      <c r="C111" s="4" t="s">
        <v>67</v>
      </c>
      <c r="D111" s="4" t="s">
        <v>58</v>
      </c>
      <c r="E111" s="4">
        <v>3281</v>
      </c>
      <c r="F111" s="7">
        <v>727.20359646449253</v>
      </c>
      <c r="G111" s="7">
        <v>2</v>
      </c>
      <c r="H111" s="7">
        <v>4</v>
      </c>
      <c r="I111" s="7">
        <v>198</v>
      </c>
      <c r="J111" s="7">
        <v>1566</v>
      </c>
      <c r="K111" s="7">
        <v>12926.39999999994</v>
      </c>
      <c r="L111" s="7">
        <v>26371</v>
      </c>
    </row>
    <row r="112" spans="1:12" ht="23.05" customHeight="1">
      <c r="A112" s="4">
        <v>200</v>
      </c>
      <c r="B112" s="4" t="s">
        <v>46</v>
      </c>
      <c r="C112" s="4" t="s">
        <v>68</v>
      </c>
      <c r="D112" s="4" t="s">
        <v>62</v>
      </c>
      <c r="E112" s="4">
        <v>3281</v>
      </c>
      <c r="F112" s="5">
        <v>1</v>
      </c>
      <c r="G112" s="5">
        <v>1</v>
      </c>
      <c r="H112" s="5">
        <v>1</v>
      </c>
      <c r="I112" s="5">
        <v>1</v>
      </c>
      <c r="J112" s="5">
        <v>1</v>
      </c>
      <c r="K112" s="5">
        <v>1</v>
      </c>
      <c r="L112" s="5">
        <v>1</v>
      </c>
    </row>
    <row r="113" spans="1:12" ht="23.05" customHeight="1">
      <c r="A113" s="4">
        <v>200</v>
      </c>
      <c r="B113" s="4" t="s">
        <v>46</v>
      </c>
      <c r="C113" s="4" t="s">
        <v>69</v>
      </c>
      <c r="D113" s="4" t="s">
        <v>70</v>
      </c>
      <c r="E113" s="4">
        <v>3281</v>
      </c>
      <c r="F113" s="7">
        <v>11252252.888143858</v>
      </c>
      <c r="G113" s="7">
        <v>636</v>
      </c>
      <c r="H113" s="7">
        <v>6336</v>
      </c>
      <c r="I113" s="7">
        <v>175800</v>
      </c>
      <c r="J113" s="7">
        <v>7940403</v>
      </c>
      <c r="K113" s="7">
        <v>295775159.99999988</v>
      </c>
      <c r="L113" s="7">
        <v>952044437</v>
      </c>
    </row>
    <row r="114" spans="1:12" ht="23.05" customHeight="1">
      <c r="A114" s="4">
        <v>200</v>
      </c>
      <c r="B114" s="4" t="s">
        <v>46</v>
      </c>
      <c r="C114" s="4" t="s">
        <v>71</v>
      </c>
      <c r="D114" s="4" t="s">
        <v>72</v>
      </c>
      <c r="E114" s="4">
        <v>3281</v>
      </c>
      <c r="F114" s="7">
        <v>164195.61353245963</v>
      </c>
      <c r="G114" s="7">
        <v>6</v>
      </c>
      <c r="H114" s="7">
        <v>24</v>
      </c>
      <c r="I114" s="7">
        <v>2000</v>
      </c>
      <c r="J114" s="7">
        <v>47847</v>
      </c>
      <c r="K114" s="7">
        <v>4898501.5999999987</v>
      </c>
      <c r="L114" s="7">
        <v>6935452</v>
      </c>
    </row>
    <row r="115" spans="1:12" ht="23.05" customHeight="1">
      <c r="A115" s="4">
        <v>200</v>
      </c>
      <c r="B115" s="4" t="s">
        <v>47</v>
      </c>
      <c r="C115" s="4" t="s">
        <v>58</v>
      </c>
      <c r="D115" s="4" t="s">
        <v>58</v>
      </c>
      <c r="E115" s="4">
        <v>4023</v>
      </c>
      <c r="F115" s="7">
        <v>109.77504349987572</v>
      </c>
      <c r="G115" s="7">
        <v>12</v>
      </c>
      <c r="H115" s="7">
        <v>36</v>
      </c>
      <c r="I115" s="7">
        <v>96</v>
      </c>
      <c r="J115" s="7">
        <v>255.80000000000018</v>
      </c>
      <c r="K115" s="7">
        <v>836</v>
      </c>
      <c r="L115" s="7">
        <v>10872</v>
      </c>
    </row>
    <row r="116" spans="1:12" ht="23.05" customHeight="1">
      <c r="A116" s="4">
        <v>200</v>
      </c>
      <c r="B116" s="4" t="s">
        <v>47</v>
      </c>
      <c r="C116" s="4" t="s">
        <v>59</v>
      </c>
      <c r="D116" s="4" t="s">
        <v>60</v>
      </c>
      <c r="E116" s="4">
        <v>4023</v>
      </c>
      <c r="F116" s="7">
        <v>8.4240616455381563</v>
      </c>
      <c r="G116" s="7">
        <v>3</v>
      </c>
      <c r="H116" s="7">
        <v>7</v>
      </c>
      <c r="I116" s="7">
        <v>13</v>
      </c>
      <c r="J116" s="7">
        <v>19</v>
      </c>
      <c r="K116" s="7">
        <v>20</v>
      </c>
      <c r="L116" s="7">
        <v>20</v>
      </c>
    </row>
    <row r="117" spans="1:12" ht="23.05" customHeight="1">
      <c r="A117" s="4">
        <v>200</v>
      </c>
      <c r="B117" s="4" t="s">
        <v>47</v>
      </c>
      <c r="C117" s="4" t="s">
        <v>61</v>
      </c>
      <c r="D117" s="4" t="s">
        <v>62</v>
      </c>
      <c r="E117" s="4">
        <v>4023</v>
      </c>
      <c r="F117" s="5">
        <v>0.42120308227690778</v>
      </c>
      <c r="G117" s="5">
        <v>0.15</v>
      </c>
      <c r="H117" s="5">
        <v>0.35</v>
      </c>
      <c r="I117" s="5">
        <v>0.65</v>
      </c>
      <c r="J117" s="5">
        <v>0.95</v>
      </c>
      <c r="K117" s="5">
        <v>1</v>
      </c>
      <c r="L117" s="5">
        <v>1</v>
      </c>
    </row>
    <row r="118" spans="1:12" ht="23.05" customHeight="1">
      <c r="A118" s="4">
        <v>200</v>
      </c>
      <c r="B118" s="4" t="s">
        <v>47</v>
      </c>
      <c r="C118" s="4" t="s">
        <v>63</v>
      </c>
      <c r="D118" s="4" t="s">
        <v>64</v>
      </c>
      <c r="E118" s="4">
        <v>4023</v>
      </c>
      <c r="F118" s="7">
        <v>62.885906040268459</v>
      </c>
      <c r="G118" s="7">
        <v>20</v>
      </c>
      <c r="H118" s="7">
        <v>60</v>
      </c>
      <c r="I118" s="7">
        <v>100</v>
      </c>
      <c r="J118" s="7">
        <v>130</v>
      </c>
      <c r="K118" s="7">
        <v>180</v>
      </c>
      <c r="L118" s="7">
        <v>190</v>
      </c>
    </row>
    <row r="119" spans="1:12" ht="23.05" customHeight="1">
      <c r="A119" s="4">
        <v>200</v>
      </c>
      <c r="B119" s="4" t="s">
        <v>47</v>
      </c>
      <c r="C119" s="4" t="s">
        <v>65</v>
      </c>
      <c r="D119" s="4" t="s">
        <v>64</v>
      </c>
      <c r="E119" s="4">
        <v>4023</v>
      </c>
      <c r="F119" s="7">
        <v>49.440715883668901</v>
      </c>
      <c r="G119" s="7">
        <v>20</v>
      </c>
      <c r="H119" s="7">
        <v>30</v>
      </c>
      <c r="I119" s="7">
        <v>50</v>
      </c>
      <c r="J119" s="7">
        <v>150</v>
      </c>
      <c r="K119" s="7">
        <v>200</v>
      </c>
      <c r="L119" s="7">
        <v>200</v>
      </c>
    </row>
    <row r="120" spans="1:12" ht="23.05" customHeight="1">
      <c r="A120" s="4">
        <v>200</v>
      </c>
      <c r="B120" s="4" t="s">
        <v>47</v>
      </c>
      <c r="C120" s="4" t="s">
        <v>66</v>
      </c>
      <c r="D120" s="4" t="s">
        <v>64</v>
      </c>
      <c r="E120" s="4">
        <v>4023</v>
      </c>
      <c r="F120" s="7">
        <v>134.04192816306241</v>
      </c>
      <c r="G120" s="7">
        <v>92.902500000000003</v>
      </c>
      <c r="H120" s="7">
        <v>157.65199999999999</v>
      </c>
      <c r="I120" s="7">
        <v>185.565</v>
      </c>
      <c r="J120" s="7">
        <v>195.75399999999999</v>
      </c>
      <c r="K120" s="7">
        <v>199.54077999999998</v>
      </c>
      <c r="L120" s="7">
        <v>199.941</v>
      </c>
    </row>
    <row r="121" spans="1:12" ht="23.05" customHeight="1">
      <c r="A121" s="4">
        <v>200</v>
      </c>
      <c r="B121" s="4" t="s">
        <v>47</v>
      </c>
      <c r="C121" s="4" t="s">
        <v>67</v>
      </c>
      <c r="D121" s="4" t="s">
        <v>58</v>
      </c>
      <c r="E121" s="4">
        <v>4023</v>
      </c>
      <c r="F121" s="7">
        <v>53.429778772060651</v>
      </c>
      <c r="G121" s="7">
        <v>2</v>
      </c>
      <c r="H121" s="7">
        <v>10</v>
      </c>
      <c r="I121" s="7">
        <v>42</v>
      </c>
      <c r="J121" s="7">
        <v>118</v>
      </c>
      <c r="K121" s="7">
        <v>540</v>
      </c>
      <c r="L121" s="7">
        <v>4322</v>
      </c>
    </row>
    <row r="122" spans="1:12" ht="23.05" customHeight="1">
      <c r="A122" s="4">
        <v>200</v>
      </c>
      <c r="B122" s="4" t="s">
        <v>47</v>
      </c>
      <c r="C122" s="4" t="s">
        <v>68</v>
      </c>
      <c r="D122" s="4" t="s">
        <v>62</v>
      </c>
      <c r="E122" s="4">
        <v>4023</v>
      </c>
      <c r="F122" s="5">
        <v>0.46212180070436543</v>
      </c>
      <c r="G122" s="5">
        <v>0.13188142770719902</v>
      </c>
      <c r="H122" s="5">
        <v>0.5</v>
      </c>
      <c r="I122" s="5">
        <v>0.76444901104546625</v>
      </c>
      <c r="J122" s="5">
        <v>0.89473684210526316</v>
      </c>
      <c r="K122" s="5">
        <v>0.99009900990099009</v>
      </c>
      <c r="L122" s="5">
        <v>0.99914089347079038</v>
      </c>
    </row>
    <row r="123" spans="1:12" ht="23.05" customHeight="1">
      <c r="A123" s="4">
        <v>200</v>
      </c>
      <c r="B123" s="4" t="s">
        <v>47</v>
      </c>
      <c r="C123" s="4" t="s">
        <v>69</v>
      </c>
      <c r="D123" s="4" t="s">
        <v>70</v>
      </c>
      <c r="E123" s="4">
        <v>4023</v>
      </c>
      <c r="F123" s="7">
        <v>277780.54685558041</v>
      </c>
      <c r="G123" s="7">
        <v>3188</v>
      </c>
      <c r="H123" s="7">
        <v>18876</v>
      </c>
      <c r="I123" s="7">
        <v>181812.5</v>
      </c>
      <c r="J123" s="7">
        <v>726396.00000000012</v>
      </c>
      <c r="K123" s="7">
        <v>2278638.0599999996</v>
      </c>
      <c r="L123" s="7">
        <v>40841860</v>
      </c>
    </row>
    <row r="124" spans="1:12" ht="23.05" customHeight="1">
      <c r="A124" s="4">
        <v>200</v>
      </c>
      <c r="B124" s="4" t="s">
        <v>47</v>
      </c>
      <c r="C124" s="4" t="s">
        <v>71</v>
      </c>
      <c r="D124" s="4" t="s">
        <v>72</v>
      </c>
      <c r="E124" s="4">
        <v>4023</v>
      </c>
      <c r="F124" s="7">
        <v>1005.5960725826498</v>
      </c>
      <c r="G124" s="7">
        <v>34</v>
      </c>
      <c r="H124" s="7">
        <v>154</v>
      </c>
      <c r="I124" s="7">
        <v>990.5</v>
      </c>
      <c r="J124" s="7">
        <v>2996.8</v>
      </c>
      <c r="K124" s="7">
        <v>8658.179999999993</v>
      </c>
      <c r="L124" s="7">
        <v>39817</v>
      </c>
    </row>
    <row r="125" spans="1:12" ht="23.05" customHeight="1">
      <c r="A125" s="4">
        <v>500</v>
      </c>
      <c r="B125" s="4" t="s">
        <v>57</v>
      </c>
      <c r="C125" s="4" t="s">
        <v>58</v>
      </c>
      <c r="D125" s="4" t="s">
        <v>58</v>
      </c>
      <c r="E125" s="4">
        <v>800775</v>
      </c>
      <c r="F125" s="7">
        <v>25.119514220598795</v>
      </c>
      <c r="G125" s="7">
        <v>1</v>
      </c>
      <c r="H125" s="7">
        <v>3</v>
      </c>
      <c r="I125" s="7">
        <v>5</v>
      </c>
      <c r="J125" s="7">
        <v>41</v>
      </c>
      <c r="K125" s="7">
        <v>382</v>
      </c>
      <c r="L125" s="7">
        <v>61102</v>
      </c>
    </row>
    <row r="126" spans="1:12" ht="23.05" customHeight="1">
      <c r="A126" s="4">
        <v>500</v>
      </c>
      <c r="B126" s="4" t="s">
        <v>57</v>
      </c>
      <c r="C126" s="4" t="s">
        <v>59</v>
      </c>
      <c r="D126" s="4" t="s">
        <v>60</v>
      </c>
      <c r="E126" s="4">
        <v>800775</v>
      </c>
      <c r="F126" s="7">
        <v>4.5676663232493526</v>
      </c>
      <c r="G126" s="7">
        <v>1</v>
      </c>
      <c r="H126" s="7">
        <v>1</v>
      </c>
      <c r="I126" s="7">
        <v>3</v>
      </c>
      <c r="J126" s="7">
        <v>13</v>
      </c>
      <c r="K126" s="7">
        <v>49</v>
      </c>
      <c r="L126" s="7">
        <v>50</v>
      </c>
    </row>
    <row r="127" spans="1:12" ht="23.05" customHeight="1">
      <c r="A127" s="4">
        <v>500</v>
      </c>
      <c r="B127" s="4" t="s">
        <v>57</v>
      </c>
      <c r="C127" s="4" t="s">
        <v>61</v>
      </c>
      <c r="D127" s="4" t="s">
        <v>62</v>
      </c>
      <c r="E127" s="4">
        <v>800775</v>
      </c>
      <c r="F127" s="5">
        <v>9.1353326464987047E-2</v>
      </c>
      <c r="G127" s="5">
        <v>0.02</v>
      </c>
      <c r="H127" s="5">
        <v>0.02</v>
      </c>
      <c r="I127" s="5">
        <v>0.06</v>
      </c>
      <c r="J127" s="5">
        <v>0.26</v>
      </c>
      <c r="K127" s="5">
        <v>0.98</v>
      </c>
      <c r="L127" s="5">
        <v>1</v>
      </c>
    </row>
    <row r="128" spans="1:12" ht="23.05" customHeight="1">
      <c r="A128" s="4">
        <v>500</v>
      </c>
      <c r="B128" s="4" t="s">
        <v>57</v>
      </c>
      <c r="C128" s="4" t="s">
        <v>63</v>
      </c>
      <c r="D128" s="4" t="s">
        <v>64</v>
      </c>
      <c r="E128" s="4">
        <v>800775</v>
      </c>
      <c r="F128" s="7">
        <v>306.83422934032654</v>
      </c>
      <c r="G128" s="7">
        <v>250</v>
      </c>
      <c r="H128" s="7">
        <v>320</v>
      </c>
      <c r="I128" s="7">
        <v>410</v>
      </c>
      <c r="J128" s="7">
        <v>460</v>
      </c>
      <c r="K128" s="7">
        <v>490</v>
      </c>
      <c r="L128" s="7">
        <v>490</v>
      </c>
    </row>
    <row r="129" spans="1:12" ht="23.05" customHeight="1">
      <c r="A129" s="4">
        <v>500</v>
      </c>
      <c r="B129" s="4" t="s">
        <v>57</v>
      </c>
      <c r="C129" s="4" t="s">
        <v>65</v>
      </c>
      <c r="D129" s="4" t="s">
        <v>64</v>
      </c>
      <c r="E129" s="4">
        <v>800775</v>
      </c>
      <c r="F129" s="7">
        <v>23.64638006930786</v>
      </c>
      <c r="G129" s="7">
        <v>10</v>
      </c>
      <c r="H129" s="7">
        <v>10</v>
      </c>
      <c r="I129" s="7">
        <v>20</v>
      </c>
      <c r="J129" s="7">
        <v>30</v>
      </c>
      <c r="K129" s="7">
        <v>470</v>
      </c>
      <c r="L129" s="7">
        <v>500</v>
      </c>
    </row>
    <row r="130" spans="1:12" ht="23.05" customHeight="1">
      <c r="A130" s="4">
        <v>500</v>
      </c>
      <c r="B130" s="4" t="s">
        <v>57</v>
      </c>
      <c r="C130" s="4" t="s">
        <v>66</v>
      </c>
      <c r="D130" s="4" t="s">
        <v>64</v>
      </c>
      <c r="E130" s="4">
        <v>800775</v>
      </c>
      <c r="F130" s="7">
        <v>110.68528274484095</v>
      </c>
      <c r="G130" s="7">
        <v>0</v>
      </c>
      <c r="H130" s="7">
        <v>4.1580000000000004</v>
      </c>
      <c r="I130" s="7">
        <v>197.2045</v>
      </c>
      <c r="J130" s="7">
        <v>435.49160000000001</v>
      </c>
      <c r="K130" s="7">
        <v>496.036</v>
      </c>
      <c r="L130" s="7">
        <v>499.99400000000003</v>
      </c>
    </row>
    <row r="131" spans="1:12" ht="23.05" customHeight="1">
      <c r="A131" s="4">
        <v>500</v>
      </c>
      <c r="B131" s="4" t="s">
        <v>57</v>
      </c>
      <c r="C131" s="4" t="s">
        <v>67</v>
      </c>
      <c r="D131" s="4" t="s">
        <v>58</v>
      </c>
      <c r="E131" s="4">
        <v>800775</v>
      </c>
      <c r="F131" s="7">
        <v>3.2479822671786707</v>
      </c>
      <c r="G131" s="7">
        <v>0</v>
      </c>
      <c r="H131" s="7">
        <v>0</v>
      </c>
      <c r="I131" s="7">
        <v>0</v>
      </c>
      <c r="J131" s="7">
        <v>0</v>
      </c>
      <c r="K131" s="7">
        <v>0</v>
      </c>
      <c r="L131" s="7">
        <v>61102</v>
      </c>
    </row>
    <row r="132" spans="1:12" ht="23.05" customHeight="1">
      <c r="A132" s="4">
        <v>500</v>
      </c>
      <c r="B132" s="4" t="s">
        <v>57</v>
      </c>
      <c r="C132" s="4" t="s">
        <v>68</v>
      </c>
      <c r="D132" s="4" t="s">
        <v>62</v>
      </c>
      <c r="E132" s="4">
        <v>800775</v>
      </c>
      <c r="F132" s="5">
        <v>3.3622122005584993E-3</v>
      </c>
      <c r="G132" s="5">
        <v>0</v>
      </c>
      <c r="H132" s="5">
        <v>0</v>
      </c>
      <c r="I132" s="5">
        <v>0</v>
      </c>
      <c r="J132" s="5">
        <v>0</v>
      </c>
      <c r="K132" s="5">
        <v>0</v>
      </c>
      <c r="L132" s="5">
        <v>1</v>
      </c>
    </row>
    <row r="133" spans="1:12" ht="23.05" customHeight="1">
      <c r="A133" s="4">
        <v>500</v>
      </c>
      <c r="B133" s="4" t="s">
        <v>57</v>
      </c>
      <c r="C133" s="4" t="s">
        <v>69</v>
      </c>
      <c r="D133" s="4" t="s">
        <v>70</v>
      </c>
      <c r="E133" s="4">
        <v>800775</v>
      </c>
      <c r="F133" s="7">
        <v>192400.08694327369</v>
      </c>
      <c r="G133" s="7">
        <v>44</v>
      </c>
      <c r="H133" s="7">
        <v>2033</v>
      </c>
      <c r="I133" s="7">
        <v>3512</v>
      </c>
      <c r="J133" s="7">
        <v>75606.599999999977</v>
      </c>
      <c r="K133" s="7">
        <v>1841294.6600000027</v>
      </c>
      <c r="L133" s="7">
        <v>2201002404</v>
      </c>
    </row>
    <row r="134" spans="1:12" ht="23.05" customHeight="1">
      <c r="A134" s="4">
        <v>500</v>
      </c>
      <c r="B134" s="4" t="s">
        <v>57</v>
      </c>
      <c r="C134" s="4" t="s">
        <v>71</v>
      </c>
      <c r="D134" s="4" t="s">
        <v>72</v>
      </c>
      <c r="E134" s="4">
        <v>800775</v>
      </c>
      <c r="F134" s="7">
        <v>988.09248290718369</v>
      </c>
      <c r="G134" s="7">
        <v>1</v>
      </c>
      <c r="H134" s="7">
        <v>24</v>
      </c>
      <c r="I134" s="7">
        <v>37</v>
      </c>
      <c r="J134" s="7">
        <v>409</v>
      </c>
      <c r="K134" s="7">
        <v>5469</v>
      </c>
      <c r="L134" s="7">
        <v>12218144</v>
      </c>
    </row>
    <row r="135" spans="1:12" ht="23.05" customHeight="1">
      <c r="A135" s="4">
        <v>500</v>
      </c>
      <c r="B135" s="4" t="s">
        <v>45</v>
      </c>
      <c r="C135" s="4" t="s">
        <v>58</v>
      </c>
      <c r="D135" s="4" t="s">
        <v>58</v>
      </c>
      <c r="E135" s="4">
        <v>796447</v>
      </c>
      <c r="F135" s="7">
        <v>21.66167993601583</v>
      </c>
      <c r="G135" s="7">
        <v>1</v>
      </c>
      <c r="H135" s="7">
        <v>3</v>
      </c>
      <c r="I135" s="7">
        <v>5</v>
      </c>
      <c r="J135" s="7">
        <v>40</v>
      </c>
      <c r="K135" s="7">
        <v>367</v>
      </c>
      <c r="L135" s="7">
        <v>7633</v>
      </c>
    </row>
    <row r="136" spans="1:12" ht="23.05" customHeight="1">
      <c r="A136" s="4">
        <v>500</v>
      </c>
      <c r="B136" s="4" t="s">
        <v>45</v>
      </c>
      <c r="C136" s="4" t="s">
        <v>59</v>
      </c>
      <c r="D136" s="4" t="s">
        <v>60</v>
      </c>
      <c r="E136" s="4">
        <v>796447</v>
      </c>
      <c r="F136" s="7">
        <v>4.5072340030158946</v>
      </c>
      <c r="G136" s="7">
        <v>1</v>
      </c>
      <c r="H136" s="7">
        <v>1</v>
      </c>
      <c r="I136" s="7">
        <v>3</v>
      </c>
      <c r="J136" s="7">
        <v>13</v>
      </c>
      <c r="K136" s="7">
        <v>48</v>
      </c>
      <c r="L136" s="7">
        <v>50</v>
      </c>
    </row>
    <row r="137" spans="1:12" ht="23.05" customHeight="1">
      <c r="A137" s="4">
        <v>500</v>
      </c>
      <c r="B137" s="4" t="s">
        <v>45</v>
      </c>
      <c r="C137" s="4" t="s">
        <v>61</v>
      </c>
      <c r="D137" s="4" t="s">
        <v>62</v>
      </c>
      <c r="E137" s="4">
        <v>796447</v>
      </c>
      <c r="F137" s="5">
        <v>9.0144680060317894E-2</v>
      </c>
      <c r="G137" s="5">
        <v>0.02</v>
      </c>
      <c r="H137" s="5">
        <v>0.02</v>
      </c>
      <c r="I137" s="5">
        <v>0.06</v>
      </c>
      <c r="J137" s="5">
        <v>0.26</v>
      </c>
      <c r="K137" s="5">
        <v>0.96</v>
      </c>
      <c r="L137" s="5">
        <v>1</v>
      </c>
    </row>
    <row r="138" spans="1:12" ht="23.05" customHeight="1">
      <c r="A138" s="4">
        <v>500</v>
      </c>
      <c r="B138" s="4" t="s">
        <v>45</v>
      </c>
      <c r="C138" s="4" t="s">
        <v>63</v>
      </c>
      <c r="D138" s="4" t="s">
        <v>64</v>
      </c>
      <c r="E138" s="4">
        <v>796447</v>
      </c>
      <c r="F138" s="7">
        <v>307.52986702191106</v>
      </c>
      <c r="G138" s="7">
        <v>250</v>
      </c>
      <c r="H138" s="7">
        <v>320</v>
      </c>
      <c r="I138" s="7">
        <v>410</v>
      </c>
      <c r="J138" s="7">
        <v>460</v>
      </c>
      <c r="K138" s="7">
        <v>490</v>
      </c>
      <c r="L138" s="7">
        <v>490</v>
      </c>
    </row>
    <row r="139" spans="1:12" ht="23.05" customHeight="1">
      <c r="A139" s="4">
        <v>500</v>
      </c>
      <c r="B139" s="4" t="s">
        <v>45</v>
      </c>
      <c r="C139" s="4" t="s">
        <v>65</v>
      </c>
      <c r="D139" s="4" t="s">
        <v>64</v>
      </c>
      <c r="E139" s="4">
        <v>796447</v>
      </c>
      <c r="F139" s="7">
        <v>23.275811196476351</v>
      </c>
      <c r="G139" s="7">
        <v>10</v>
      </c>
      <c r="H139" s="7">
        <v>10</v>
      </c>
      <c r="I139" s="7">
        <v>20</v>
      </c>
      <c r="J139" s="7">
        <v>30</v>
      </c>
      <c r="K139" s="7">
        <v>410</v>
      </c>
      <c r="L139" s="7">
        <v>500</v>
      </c>
    </row>
    <row r="140" spans="1:12" ht="23.05" customHeight="1">
      <c r="A140" s="4">
        <v>500</v>
      </c>
      <c r="B140" s="4" t="s">
        <v>45</v>
      </c>
      <c r="C140" s="4" t="s">
        <v>66</v>
      </c>
      <c r="D140" s="4" t="s">
        <v>64</v>
      </c>
      <c r="E140" s="4">
        <v>796447</v>
      </c>
      <c r="F140" s="7">
        <v>109.65703850978156</v>
      </c>
      <c r="G140" s="7">
        <v>0</v>
      </c>
      <c r="H140" s="7">
        <v>4.1420000000000003</v>
      </c>
      <c r="I140" s="7">
        <v>194.09649999999999</v>
      </c>
      <c r="J140" s="7">
        <v>433.70400000000001</v>
      </c>
      <c r="K140" s="7">
        <v>495.88600000000002</v>
      </c>
      <c r="L140" s="7">
        <v>499.98399999999998</v>
      </c>
    </row>
    <row r="141" spans="1:12" ht="23.05" customHeight="1">
      <c r="A141" s="4">
        <v>500</v>
      </c>
      <c r="B141" s="4" t="s">
        <v>45</v>
      </c>
      <c r="C141" s="4" t="s">
        <v>67</v>
      </c>
      <c r="D141" s="4" t="s">
        <v>58</v>
      </c>
      <c r="E141" s="4">
        <v>796447</v>
      </c>
      <c r="F141" s="7">
        <v>0</v>
      </c>
      <c r="G141" s="7">
        <v>0</v>
      </c>
      <c r="H141" s="7">
        <v>0</v>
      </c>
      <c r="I141" s="7">
        <v>0</v>
      </c>
      <c r="J141" s="7">
        <v>0</v>
      </c>
      <c r="K141" s="7">
        <v>0</v>
      </c>
      <c r="L141" s="7">
        <v>0</v>
      </c>
    </row>
    <row r="142" spans="1:12" ht="23.05" customHeight="1">
      <c r="A142" s="4">
        <v>500</v>
      </c>
      <c r="B142" s="4" t="s">
        <v>45</v>
      </c>
      <c r="C142" s="4" t="s">
        <v>68</v>
      </c>
      <c r="D142" s="4" t="s">
        <v>62</v>
      </c>
      <c r="E142" s="4">
        <v>796447</v>
      </c>
      <c r="F142" s="5">
        <v>0</v>
      </c>
      <c r="G142" s="5">
        <v>0</v>
      </c>
      <c r="H142" s="5">
        <v>0</v>
      </c>
      <c r="I142" s="5">
        <v>0</v>
      </c>
      <c r="J142" s="5">
        <v>0</v>
      </c>
      <c r="K142" s="5">
        <v>0</v>
      </c>
      <c r="L142" s="5">
        <v>0</v>
      </c>
    </row>
    <row r="143" spans="1:12" ht="23.05" customHeight="1">
      <c r="A143" s="4">
        <v>500</v>
      </c>
      <c r="B143" s="4" t="s">
        <v>45</v>
      </c>
      <c r="C143" s="4" t="s">
        <v>69</v>
      </c>
      <c r="D143" s="4" t="s">
        <v>70</v>
      </c>
      <c r="E143" s="4">
        <v>796447</v>
      </c>
      <c r="F143" s="7">
        <v>145594.59723873655</v>
      </c>
      <c r="G143" s="7">
        <v>44</v>
      </c>
      <c r="H143" s="7">
        <v>2033</v>
      </c>
      <c r="I143" s="7">
        <v>3496</v>
      </c>
      <c r="J143" s="7">
        <v>72754.800000000047</v>
      </c>
      <c r="K143" s="7">
        <v>1738963.54</v>
      </c>
      <c r="L143" s="7">
        <v>256024451</v>
      </c>
    </row>
    <row r="144" spans="1:12" ht="23.05" customHeight="1">
      <c r="A144" s="4">
        <v>500</v>
      </c>
      <c r="B144" s="4" t="s">
        <v>45</v>
      </c>
      <c r="C144" s="4" t="s">
        <v>71</v>
      </c>
      <c r="D144" s="4" t="s">
        <v>72</v>
      </c>
      <c r="E144" s="4">
        <v>796447</v>
      </c>
      <c r="F144" s="7">
        <v>311.50941368352193</v>
      </c>
      <c r="G144" s="7">
        <v>1</v>
      </c>
      <c r="H144" s="7">
        <v>24</v>
      </c>
      <c r="I144" s="7">
        <v>37</v>
      </c>
      <c r="J144" s="7">
        <v>396</v>
      </c>
      <c r="K144" s="7">
        <v>5228.5400000000373</v>
      </c>
      <c r="L144" s="7">
        <v>270542</v>
      </c>
    </row>
    <row r="145" spans="1:12" ht="23.05" customHeight="1">
      <c r="A145" s="4">
        <v>500</v>
      </c>
      <c r="B145" s="4" t="s">
        <v>46</v>
      </c>
      <c r="C145" s="4" t="s">
        <v>58</v>
      </c>
      <c r="D145" s="4" t="s">
        <v>58</v>
      </c>
      <c r="E145" s="4">
        <v>1597</v>
      </c>
      <c r="F145" s="7">
        <v>1467.4802755165936</v>
      </c>
      <c r="G145" s="7">
        <v>1</v>
      </c>
      <c r="H145" s="7">
        <v>3</v>
      </c>
      <c r="I145" s="7">
        <v>146</v>
      </c>
      <c r="J145" s="7">
        <v>3881.2000000000003</v>
      </c>
      <c r="K145" s="7">
        <v>18978.080000000002</v>
      </c>
      <c r="L145" s="7">
        <v>61102</v>
      </c>
    </row>
    <row r="146" spans="1:12" ht="23.05" customHeight="1">
      <c r="A146" s="4">
        <v>500</v>
      </c>
      <c r="B146" s="4" t="s">
        <v>46</v>
      </c>
      <c r="C146" s="4" t="s">
        <v>59</v>
      </c>
      <c r="D146" s="4" t="s">
        <v>60</v>
      </c>
      <c r="E146" s="4">
        <v>1597</v>
      </c>
      <c r="F146" s="7">
        <v>12.552911709455229</v>
      </c>
      <c r="G146" s="7">
        <v>1</v>
      </c>
      <c r="H146" s="7">
        <v>2</v>
      </c>
      <c r="I146" s="7">
        <v>8</v>
      </c>
      <c r="J146" s="7">
        <v>50</v>
      </c>
      <c r="K146" s="7">
        <v>50</v>
      </c>
      <c r="L146" s="7">
        <v>50</v>
      </c>
    </row>
    <row r="147" spans="1:12" ht="23.05" customHeight="1">
      <c r="A147" s="4">
        <v>500</v>
      </c>
      <c r="B147" s="4" t="s">
        <v>46</v>
      </c>
      <c r="C147" s="4" t="s">
        <v>61</v>
      </c>
      <c r="D147" s="4" t="s">
        <v>62</v>
      </c>
      <c r="E147" s="4">
        <v>1597</v>
      </c>
      <c r="F147" s="5">
        <v>0.25105823418910456</v>
      </c>
      <c r="G147" s="5">
        <v>0.02</v>
      </c>
      <c r="H147" s="5">
        <v>0.04</v>
      </c>
      <c r="I147" s="5">
        <v>0.16</v>
      </c>
      <c r="J147" s="5">
        <v>1</v>
      </c>
      <c r="K147" s="5">
        <v>1</v>
      </c>
      <c r="L147" s="5">
        <v>1</v>
      </c>
    </row>
    <row r="148" spans="1:12" ht="23.05" customHeight="1">
      <c r="A148" s="4">
        <v>500</v>
      </c>
      <c r="B148" s="4" t="s">
        <v>46</v>
      </c>
      <c r="C148" s="4" t="s">
        <v>63</v>
      </c>
      <c r="D148" s="4" t="s">
        <v>64</v>
      </c>
      <c r="E148" s="4">
        <v>1597</v>
      </c>
      <c r="F148" s="7">
        <v>242.62366938008768</v>
      </c>
      <c r="G148" s="7">
        <v>110</v>
      </c>
      <c r="H148" s="7">
        <v>270</v>
      </c>
      <c r="I148" s="7">
        <v>380</v>
      </c>
      <c r="J148" s="7">
        <v>450</v>
      </c>
      <c r="K148" s="7">
        <v>490</v>
      </c>
      <c r="L148" s="7">
        <v>490</v>
      </c>
    </row>
    <row r="149" spans="1:12" ht="23.05" customHeight="1">
      <c r="A149" s="4">
        <v>500</v>
      </c>
      <c r="B149" s="4" t="s">
        <v>46</v>
      </c>
      <c r="C149" s="4" t="s">
        <v>65</v>
      </c>
      <c r="D149" s="4" t="s">
        <v>64</v>
      </c>
      <c r="E149" s="4">
        <v>1597</v>
      </c>
      <c r="F149" s="7">
        <v>114.51471509079524</v>
      </c>
      <c r="G149" s="7">
        <v>10</v>
      </c>
      <c r="H149" s="7">
        <v>10</v>
      </c>
      <c r="I149" s="7">
        <v>20</v>
      </c>
      <c r="J149" s="7">
        <v>500</v>
      </c>
      <c r="K149" s="7">
        <v>500</v>
      </c>
      <c r="L149" s="7">
        <v>500</v>
      </c>
    </row>
    <row r="150" spans="1:12" ht="23.05" customHeight="1">
      <c r="A150" s="4">
        <v>500</v>
      </c>
      <c r="B150" s="4" t="s">
        <v>46</v>
      </c>
      <c r="C150" s="4" t="s">
        <v>66</v>
      </c>
      <c r="D150" s="4" t="s">
        <v>64</v>
      </c>
      <c r="E150" s="4">
        <v>1597</v>
      </c>
      <c r="F150" s="7">
        <v>189.96221289918597</v>
      </c>
      <c r="G150" s="7">
        <v>0</v>
      </c>
      <c r="H150" s="7">
        <v>9.3390000000000004</v>
      </c>
      <c r="I150" s="7">
        <v>372.92</v>
      </c>
      <c r="J150" s="7">
        <v>499.07300000000004</v>
      </c>
      <c r="K150" s="7">
        <v>499.96199999999999</v>
      </c>
      <c r="L150" s="7">
        <v>499.99400000000003</v>
      </c>
    </row>
    <row r="151" spans="1:12" ht="23.05" customHeight="1">
      <c r="A151" s="4">
        <v>500</v>
      </c>
      <c r="B151" s="4" t="s">
        <v>46</v>
      </c>
      <c r="C151" s="4" t="s">
        <v>67</v>
      </c>
      <c r="D151" s="4" t="s">
        <v>58</v>
      </c>
      <c r="E151" s="4">
        <v>1597</v>
      </c>
      <c r="F151" s="7">
        <v>1467.4802755165936</v>
      </c>
      <c r="G151" s="7">
        <v>1</v>
      </c>
      <c r="H151" s="7">
        <v>3</v>
      </c>
      <c r="I151" s="7">
        <v>146</v>
      </c>
      <c r="J151" s="7">
        <v>3881.2000000000003</v>
      </c>
      <c r="K151" s="7">
        <v>18978.080000000002</v>
      </c>
      <c r="L151" s="7">
        <v>61102</v>
      </c>
    </row>
    <row r="152" spans="1:12" ht="23.05" customHeight="1">
      <c r="A152" s="4">
        <v>500</v>
      </c>
      <c r="B152" s="4" t="s">
        <v>46</v>
      </c>
      <c r="C152" s="4" t="s">
        <v>68</v>
      </c>
      <c r="D152" s="4" t="s">
        <v>62</v>
      </c>
      <c r="E152" s="4">
        <v>1597</v>
      </c>
      <c r="F152" s="5">
        <v>1</v>
      </c>
      <c r="G152" s="5">
        <v>1</v>
      </c>
      <c r="H152" s="5">
        <v>1</v>
      </c>
      <c r="I152" s="5">
        <v>1</v>
      </c>
      <c r="J152" s="5">
        <v>1</v>
      </c>
      <c r="K152" s="5">
        <v>1</v>
      </c>
      <c r="L152" s="5">
        <v>1</v>
      </c>
    </row>
    <row r="153" spans="1:12" ht="23.05" customHeight="1">
      <c r="A153" s="4">
        <v>500</v>
      </c>
      <c r="B153" s="4" t="s">
        <v>46</v>
      </c>
      <c r="C153" s="4" t="s">
        <v>69</v>
      </c>
      <c r="D153" s="4" t="s">
        <v>70</v>
      </c>
      <c r="E153" s="4">
        <v>1597</v>
      </c>
      <c r="F153" s="7">
        <v>23066830.125860989</v>
      </c>
      <c r="G153" s="7">
        <v>184</v>
      </c>
      <c r="H153" s="7">
        <v>4512</v>
      </c>
      <c r="I153" s="7">
        <v>435984</v>
      </c>
      <c r="J153" s="7">
        <v>6963040.0000000158</v>
      </c>
      <c r="K153" s="7">
        <v>614739359.9999994</v>
      </c>
      <c r="L153" s="7">
        <v>2201002404</v>
      </c>
    </row>
    <row r="154" spans="1:12" ht="23.05" customHeight="1">
      <c r="A154" s="4">
        <v>500</v>
      </c>
      <c r="B154" s="4" t="s">
        <v>46</v>
      </c>
      <c r="C154" s="4" t="s">
        <v>71</v>
      </c>
      <c r="D154" s="4" t="s">
        <v>72</v>
      </c>
      <c r="E154" s="4">
        <v>1597</v>
      </c>
      <c r="F154" s="7">
        <v>337048.72385723231</v>
      </c>
      <c r="G154" s="7">
        <v>4</v>
      </c>
      <c r="H154" s="7">
        <v>18</v>
      </c>
      <c r="I154" s="7">
        <v>4960</v>
      </c>
      <c r="J154" s="7">
        <v>57219.200000000084</v>
      </c>
      <c r="K154" s="7">
        <v>10200987.52</v>
      </c>
      <c r="L154" s="7">
        <v>12218144</v>
      </c>
    </row>
    <row r="155" spans="1:12" ht="23.05" customHeight="1">
      <c r="A155" s="4">
        <v>500</v>
      </c>
      <c r="B155" s="4" t="s">
        <v>47</v>
      </c>
      <c r="C155" s="4" t="s">
        <v>58</v>
      </c>
      <c r="D155" s="4" t="s">
        <v>58</v>
      </c>
      <c r="E155" s="4">
        <v>2731</v>
      </c>
      <c r="F155" s="7">
        <v>190.08897839619186</v>
      </c>
      <c r="G155" s="7">
        <v>18</v>
      </c>
      <c r="H155" s="7">
        <v>56</v>
      </c>
      <c r="I155" s="7">
        <v>144</v>
      </c>
      <c r="J155" s="7">
        <v>498</v>
      </c>
      <c r="K155" s="7">
        <v>2061.7999999999938</v>
      </c>
      <c r="L155" s="7">
        <v>11111</v>
      </c>
    </row>
    <row r="156" spans="1:12" ht="23.05" customHeight="1">
      <c r="A156" s="4">
        <v>500</v>
      </c>
      <c r="B156" s="4" t="s">
        <v>47</v>
      </c>
      <c r="C156" s="4" t="s">
        <v>59</v>
      </c>
      <c r="D156" s="4" t="s">
        <v>60</v>
      </c>
      <c r="E156" s="4">
        <v>2731</v>
      </c>
      <c r="F156" s="7">
        <v>17.522153057488101</v>
      </c>
      <c r="G156" s="7">
        <v>5</v>
      </c>
      <c r="H156" s="7">
        <v>13</v>
      </c>
      <c r="I156" s="7">
        <v>26</v>
      </c>
      <c r="J156" s="7">
        <v>42</v>
      </c>
      <c r="K156" s="7">
        <v>50</v>
      </c>
      <c r="L156" s="7">
        <v>50</v>
      </c>
    </row>
    <row r="157" spans="1:12" ht="23.05" customHeight="1">
      <c r="A157" s="4">
        <v>500</v>
      </c>
      <c r="B157" s="4" t="s">
        <v>47</v>
      </c>
      <c r="C157" s="4" t="s">
        <v>61</v>
      </c>
      <c r="D157" s="4" t="s">
        <v>62</v>
      </c>
      <c r="E157" s="4">
        <v>2731</v>
      </c>
      <c r="F157" s="5">
        <v>0.35044306114976204</v>
      </c>
      <c r="G157" s="5">
        <v>0.1</v>
      </c>
      <c r="H157" s="5">
        <v>0.26</v>
      </c>
      <c r="I157" s="5">
        <v>0.52</v>
      </c>
      <c r="J157" s="5">
        <v>0.84</v>
      </c>
      <c r="K157" s="5">
        <v>1</v>
      </c>
      <c r="L157" s="5">
        <v>1</v>
      </c>
    </row>
    <row r="158" spans="1:12" ht="23.05" customHeight="1">
      <c r="A158" s="4">
        <v>500</v>
      </c>
      <c r="B158" s="4" t="s">
        <v>47</v>
      </c>
      <c r="C158" s="4" t="s">
        <v>63</v>
      </c>
      <c r="D158" s="4" t="s">
        <v>64</v>
      </c>
      <c r="E158" s="4">
        <v>2731</v>
      </c>
      <c r="F158" s="7">
        <v>141.51226656902233</v>
      </c>
      <c r="G158" s="7">
        <v>50</v>
      </c>
      <c r="H158" s="7">
        <v>110</v>
      </c>
      <c r="I158" s="7">
        <v>210</v>
      </c>
      <c r="J158" s="7">
        <v>320</v>
      </c>
      <c r="K158" s="7">
        <v>460</v>
      </c>
      <c r="L158" s="7">
        <v>490</v>
      </c>
    </row>
    <row r="159" spans="1:12" ht="23.05" customHeight="1">
      <c r="A159" s="4">
        <v>500</v>
      </c>
      <c r="B159" s="4" t="s">
        <v>47</v>
      </c>
      <c r="C159" s="4" t="s">
        <v>65</v>
      </c>
      <c r="D159" s="4" t="s">
        <v>64</v>
      </c>
      <c r="E159" s="4">
        <v>2731</v>
      </c>
      <c r="F159" s="7">
        <v>78.579274990845846</v>
      </c>
      <c r="G159" s="7">
        <v>20</v>
      </c>
      <c r="H159" s="7">
        <v>30</v>
      </c>
      <c r="I159" s="7">
        <v>70</v>
      </c>
      <c r="J159" s="7">
        <v>190</v>
      </c>
      <c r="K159" s="7">
        <v>500</v>
      </c>
      <c r="L159" s="7">
        <v>500</v>
      </c>
    </row>
    <row r="160" spans="1:12" ht="23.05" customHeight="1">
      <c r="A160" s="4">
        <v>500</v>
      </c>
      <c r="B160" s="4" t="s">
        <v>47</v>
      </c>
      <c r="C160" s="4" t="s">
        <v>66</v>
      </c>
      <c r="D160" s="4" t="s">
        <v>64</v>
      </c>
      <c r="E160" s="4">
        <v>2731</v>
      </c>
      <c r="F160" s="7">
        <v>364.19563749542289</v>
      </c>
      <c r="G160" s="7">
        <v>299.21500000000003</v>
      </c>
      <c r="H160" s="7">
        <v>431.178</v>
      </c>
      <c r="I160" s="7">
        <v>479.94749999999999</v>
      </c>
      <c r="J160" s="7">
        <v>494.37900000000002</v>
      </c>
      <c r="K160" s="7">
        <v>499.4237</v>
      </c>
      <c r="L160" s="7">
        <v>499.95600000000002</v>
      </c>
    </row>
    <row r="161" spans="1:12" ht="23.05" customHeight="1">
      <c r="A161" s="4">
        <v>500</v>
      </c>
      <c r="B161" s="4" t="s">
        <v>47</v>
      </c>
      <c r="C161" s="4" t="s">
        <v>67</v>
      </c>
      <c r="D161" s="4" t="s">
        <v>58</v>
      </c>
      <c r="E161" s="4">
        <v>2731</v>
      </c>
      <c r="F161" s="7">
        <v>94.228121567191508</v>
      </c>
      <c r="G161" s="7">
        <v>1</v>
      </c>
      <c r="H161" s="7">
        <v>6</v>
      </c>
      <c r="I161" s="7">
        <v>70</v>
      </c>
      <c r="J161" s="7">
        <v>236</v>
      </c>
      <c r="K161" s="7">
        <v>1338.1999999999953</v>
      </c>
      <c r="L161" s="7">
        <v>7070</v>
      </c>
    </row>
    <row r="162" spans="1:12" ht="23.05" customHeight="1">
      <c r="A162" s="4">
        <v>500</v>
      </c>
      <c r="B162" s="4" t="s">
        <v>47</v>
      </c>
      <c r="C162" s="4" t="s">
        <v>68</v>
      </c>
      <c r="D162" s="4" t="s">
        <v>62</v>
      </c>
      <c r="E162" s="4">
        <v>2731</v>
      </c>
      <c r="F162" s="5">
        <v>0.40108951845559587</v>
      </c>
      <c r="G162" s="5">
        <v>6.6666666666666666E-2</v>
      </c>
      <c r="H162" s="5">
        <v>0.2857142857142857</v>
      </c>
      <c r="I162" s="5">
        <v>0.73684210526315785</v>
      </c>
      <c r="J162" s="5">
        <v>0.89552238805970152</v>
      </c>
      <c r="K162" s="5">
        <v>0.9967685579738953</v>
      </c>
      <c r="L162" s="5">
        <v>0.99904030710172742</v>
      </c>
    </row>
    <row r="163" spans="1:12" ht="23.05" customHeight="1">
      <c r="A163" s="4">
        <v>500</v>
      </c>
      <c r="B163" s="4" t="s">
        <v>47</v>
      </c>
      <c r="C163" s="4" t="s">
        <v>69</v>
      </c>
      <c r="D163" s="4" t="s">
        <v>70</v>
      </c>
      <c r="E163" s="4">
        <v>2731</v>
      </c>
      <c r="F163" s="7">
        <v>466155.8857561333</v>
      </c>
      <c r="G163" s="7">
        <v>2160</v>
      </c>
      <c r="H163" s="7">
        <v>19186</v>
      </c>
      <c r="I163" s="7">
        <v>348103.5</v>
      </c>
      <c r="J163" s="7">
        <v>1157946</v>
      </c>
      <c r="K163" s="7">
        <v>4274703.9999999981</v>
      </c>
      <c r="L163" s="7">
        <v>56284230</v>
      </c>
    </row>
    <row r="164" spans="1:12" ht="23.05" customHeight="1">
      <c r="A164" s="4">
        <v>500</v>
      </c>
      <c r="B164" s="4" t="s">
        <v>47</v>
      </c>
      <c r="C164" s="4" t="s">
        <v>71</v>
      </c>
      <c r="D164" s="4" t="s">
        <v>72</v>
      </c>
      <c r="E164" s="4">
        <v>2731</v>
      </c>
      <c r="F164" s="7">
        <v>1784.0380812889052</v>
      </c>
      <c r="G164" s="7">
        <v>41.5</v>
      </c>
      <c r="H164" s="7">
        <v>160</v>
      </c>
      <c r="I164" s="7">
        <v>1657</v>
      </c>
      <c r="J164" s="7">
        <v>4968</v>
      </c>
      <c r="K164" s="7">
        <v>19878.399999999998</v>
      </c>
      <c r="L164" s="7">
        <v>71277</v>
      </c>
    </row>
    <row r="165" spans="1:12" ht="23.05" customHeight="1">
      <c r="A165" s="4">
        <v>1000</v>
      </c>
      <c r="B165" s="4" t="s">
        <v>57</v>
      </c>
      <c r="C165" s="4" t="s">
        <v>58</v>
      </c>
      <c r="D165" s="4" t="s">
        <v>58</v>
      </c>
      <c r="E165" s="4">
        <v>650256</v>
      </c>
      <c r="F165" s="7">
        <v>30.934092111414582</v>
      </c>
      <c r="G165" s="7">
        <v>1</v>
      </c>
      <c r="H165" s="7">
        <v>3</v>
      </c>
      <c r="I165" s="7">
        <v>4</v>
      </c>
      <c r="J165" s="7">
        <v>35</v>
      </c>
      <c r="K165" s="7">
        <v>575</v>
      </c>
      <c r="L165" s="7">
        <v>85538</v>
      </c>
    </row>
    <row r="166" spans="1:12" ht="23.05" customHeight="1">
      <c r="A166" s="4">
        <v>1000</v>
      </c>
      <c r="B166" s="4" t="s">
        <v>57</v>
      </c>
      <c r="C166" s="4" t="s">
        <v>59</v>
      </c>
      <c r="D166" s="4" t="s">
        <v>60</v>
      </c>
      <c r="E166" s="4">
        <v>650256</v>
      </c>
      <c r="F166" s="7">
        <v>5.6249738564503824</v>
      </c>
      <c r="G166" s="7">
        <v>1</v>
      </c>
      <c r="H166" s="7">
        <v>1</v>
      </c>
      <c r="I166" s="7">
        <v>3</v>
      </c>
      <c r="J166" s="7">
        <v>13</v>
      </c>
      <c r="K166" s="7">
        <v>72</v>
      </c>
      <c r="L166" s="7">
        <v>100</v>
      </c>
    </row>
    <row r="167" spans="1:12" ht="23.05" customHeight="1">
      <c r="A167" s="4">
        <v>1000</v>
      </c>
      <c r="B167" s="4" t="s">
        <v>57</v>
      </c>
      <c r="C167" s="4" t="s">
        <v>61</v>
      </c>
      <c r="D167" s="4" t="s">
        <v>62</v>
      </c>
      <c r="E167" s="4">
        <v>650256</v>
      </c>
      <c r="F167" s="5">
        <v>5.6249738564503833E-2</v>
      </c>
      <c r="G167" s="5">
        <v>0.01</v>
      </c>
      <c r="H167" s="5">
        <v>0.01</v>
      </c>
      <c r="I167" s="5">
        <v>0.03</v>
      </c>
      <c r="J167" s="5">
        <v>0.13</v>
      </c>
      <c r="K167" s="5">
        <v>0.72</v>
      </c>
      <c r="L167" s="5">
        <v>1</v>
      </c>
    </row>
    <row r="168" spans="1:12" ht="23.05" customHeight="1">
      <c r="A168" s="4">
        <v>1000</v>
      </c>
      <c r="B168" s="4" t="s">
        <v>57</v>
      </c>
      <c r="C168" s="4" t="s">
        <v>63</v>
      </c>
      <c r="D168" s="4" t="s">
        <v>64</v>
      </c>
      <c r="E168" s="4">
        <v>650256</v>
      </c>
      <c r="F168" s="7">
        <v>641.25316798307131</v>
      </c>
      <c r="G168" s="7">
        <v>520</v>
      </c>
      <c r="H168" s="7">
        <v>670</v>
      </c>
      <c r="I168" s="7">
        <v>820</v>
      </c>
      <c r="J168" s="7">
        <v>930</v>
      </c>
      <c r="K168" s="7">
        <v>990</v>
      </c>
      <c r="L168" s="7">
        <v>990</v>
      </c>
    </row>
    <row r="169" spans="1:12" ht="23.05" customHeight="1">
      <c r="A169" s="4">
        <v>1000</v>
      </c>
      <c r="B169" s="4" t="s">
        <v>57</v>
      </c>
      <c r="C169" s="4" t="s">
        <v>65</v>
      </c>
      <c r="D169" s="4" t="s">
        <v>64</v>
      </c>
      <c r="E169" s="4">
        <v>650256</v>
      </c>
      <c r="F169" s="7">
        <v>24.618457961172215</v>
      </c>
      <c r="G169" s="7">
        <v>10</v>
      </c>
      <c r="H169" s="7">
        <v>10</v>
      </c>
      <c r="I169" s="7">
        <v>20</v>
      </c>
      <c r="J169" s="7">
        <v>30</v>
      </c>
      <c r="K169" s="7">
        <v>250</v>
      </c>
      <c r="L169" s="7">
        <v>1000</v>
      </c>
    </row>
    <row r="170" spans="1:12" ht="23.05" customHeight="1">
      <c r="A170" s="4">
        <v>1000</v>
      </c>
      <c r="B170" s="4" t="s">
        <v>57</v>
      </c>
      <c r="C170" s="4" t="s">
        <v>66</v>
      </c>
      <c r="D170" s="4" t="s">
        <v>64</v>
      </c>
      <c r="E170" s="4">
        <v>650256</v>
      </c>
      <c r="F170" s="7">
        <v>189.65616714647769</v>
      </c>
      <c r="G170" s="7">
        <v>0</v>
      </c>
      <c r="H170" s="7">
        <v>4.1369999999999996</v>
      </c>
      <c r="I170" s="7">
        <v>247.07225</v>
      </c>
      <c r="J170" s="7">
        <v>825.31200000000001</v>
      </c>
      <c r="K170" s="7">
        <v>993.35889999999984</v>
      </c>
      <c r="L170" s="7">
        <v>999.97299999999996</v>
      </c>
    </row>
    <row r="171" spans="1:12" ht="23.05" customHeight="1">
      <c r="A171" s="4">
        <v>1000</v>
      </c>
      <c r="B171" s="4" t="s">
        <v>57</v>
      </c>
      <c r="C171" s="4" t="s">
        <v>67</v>
      </c>
      <c r="D171" s="4" t="s">
        <v>58</v>
      </c>
      <c r="E171" s="4">
        <v>650256</v>
      </c>
      <c r="F171" s="7">
        <v>3.9998139194409585</v>
      </c>
      <c r="G171" s="7">
        <v>0</v>
      </c>
      <c r="H171" s="7">
        <v>0</v>
      </c>
      <c r="I171" s="7">
        <v>0</v>
      </c>
      <c r="J171" s="7">
        <v>0</v>
      </c>
      <c r="K171" s="7">
        <v>0</v>
      </c>
      <c r="L171" s="7">
        <v>85538</v>
      </c>
    </row>
    <row r="172" spans="1:12" ht="23.05" customHeight="1">
      <c r="A172" s="4">
        <v>1000</v>
      </c>
      <c r="B172" s="4" t="s">
        <v>57</v>
      </c>
      <c r="C172" s="4" t="s">
        <v>68</v>
      </c>
      <c r="D172" s="4" t="s">
        <v>62</v>
      </c>
      <c r="E172" s="4">
        <v>650256</v>
      </c>
      <c r="F172" s="5">
        <v>2.7079611490532715E-3</v>
      </c>
      <c r="G172" s="5">
        <v>0</v>
      </c>
      <c r="H172" s="5">
        <v>0</v>
      </c>
      <c r="I172" s="5">
        <v>0</v>
      </c>
      <c r="J172" s="5">
        <v>0</v>
      </c>
      <c r="K172" s="5">
        <v>0</v>
      </c>
      <c r="L172" s="5">
        <v>1</v>
      </c>
    </row>
    <row r="173" spans="1:12" ht="23.05" customHeight="1">
      <c r="A173" s="4">
        <v>1000</v>
      </c>
      <c r="B173" s="4" t="s">
        <v>57</v>
      </c>
      <c r="C173" s="4" t="s">
        <v>69</v>
      </c>
      <c r="D173" s="4" t="s">
        <v>70</v>
      </c>
      <c r="E173" s="4">
        <v>650256</v>
      </c>
      <c r="F173" s="7">
        <v>236936.19070335376</v>
      </c>
      <c r="G173" s="7">
        <v>44</v>
      </c>
      <c r="H173" s="7">
        <v>2033</v>
      </c>
      <c r="I173" s="7">
        <v>3315</v>
      </c>
      <c r="J173" s="7">
        <v>42465.5</v>
      </c>
      <c r="K173" s="7">
        <v>2436925.6499999771</v>
      </c>
      <c r="L173" s="7">
        <v>2868457509</v>
      </c>
    </row>
    <row r="174" spans="1:12" ht="23.05" customHeight="1">
      <c r="A174" s="4">
        <v>1000</v>
      </c>
      <c r="B174" s="4" t="s">
        <v>57</v>
      </c>
      <c r="C174" s="4" t="s">
        <v>71</v>
      </c>
      <c r="D174" s="4" t="s">
        <v>72</v>
      </c>
      <c r="E174" s="4">
        <v>650256</v>
      </c>
      <c r="F174" s="7">
        <v>1216.8126983834059</v>
      </c>
      <c r="G174" s="7">
        <v>1</v>
      </c>
      <c r="H174" s="7">
        <v>24</v>
      </c>
      <c r="I174" s="7">
        <v>37</v>
      </c>
      <c r="J174" s="7">
        <v>281</v>
      </c>
      <c r="K174" s="7">
        <v>7653.4499999999534</v>
      </c>
      <c r="L174" s="7">
        <v>22458692</v>
      </c>
    </row>
    <row r="175" spans="1:12" ht="23.05" customHeight="1">
      <c r="A175" s="4">
        <v>1000</v>
      </c>
      <c r="B175" s="4" t="s">
        <v>45</v>
      </c>
      <c r="C175" s="4" t="s">
        <v>58</v>
      </c>
      <c r="D175" s="4" t="s">
        <v>58</v>
      </c>
      <c r="E175" s="4">
        <v>647108</v>
      </c>
      <c r="F175" s="7">
        <v>26.609671028638186</v>
      </c>
      <c r="G175" s="7">
        <v>1</v>
      </c>
      <c r="H175" s="7">
        <v>3</v>
      </c>
      <c r="I175" s="7">
        <v>4</v>
      </c>
      <c r="J175" s="7">
        <v>33</v>
      </c>
      <c r="K175" s="7">
        <v>559</v>
      </c>
      <c r="L175" s="7">
        <v>8279</v>
      </c>
    </row>
    <row r="176" spans="1:12" ht="23.05" customHeight="1">
      <c r="A176" s="4">
        <v>1000</v>
      </c>
      <c r="B176" s="4" t="s">
        <v>45</v>
      </c>
      <c r="C176" s="4" t="s">
        <v>59</v>
      </c>
      <c r="D176" s="4" t="s">
        <v>60</v>
      </c>
      <c r="E176" s="4">
        <v>647108</v>
      </c>
      <c r="F176" s="7">
        <v>5.5299424516464022</v>
      </c>
      <c r="G176" s="7">
        <v>1</v>
      </c>
      <c r="H176" s="7">
        <v>1</v>
      </c>
      <c r="I176" s="7">
        <v>3</v>
      </c>
      <c r="J176" s="7">
        <v>12</v>
      </c>
      <c r="K176" s="7">
        <v>71</v>
      </c>
      <c r="L176" s="7">
        <v>100</v>
      </c>
    </row>
    <row r="177" spans="1:12" ht="23.05" customHeight="1">
      <c r="A177" s="4">
        <v>1000</v>
      </c>
      <c r="B177" s="4" t="s">
        <v>45</v>
      </c>
      <c r="C177" s="4" t="s">
        <v>61</v>
      </c>
      <c r="D177" s="4" t="s">
        <v>62</v>
      </c>
      <c r="E177" s="4">
        <v>647108</v>
      </c>
      <c r="F177" s="5">
        <v>5.5299424516464017E-2</v>
      </c>
      <c r="G177" s="5">
        <v>0.01</v>
      </c>
      <c r="H177" s="5">
        <v>0.01</v>
      </c>
      <c r="I177" s="5">
        <v>0.03</v>
      </c>
      <c r="J177" s="5">
        <v>0.12</v>
      </c>
      <c r="K177" s="5">
        <v>0.71</v>
      </c>
      <c r="L177" s="5">
        <v>1</v>
      </c>
    </row>
    <row r="178" spans="1:12" ht="23.05" customHeight="1">
      <c r="A178" s="4">
        <v>1000</v>
      </c>
      <c r="B178" s="4" t="s">
        <v>45</v>
      </c>
      <c r="C178" s="4" t="s">
        <v>63</v>
      </c>
      <c r="D178" s="4" t="s">
        <v>64</v>
      </c>
      <c r="E178" s="4">
        <v>647108</v>
      </c>
      <c r="F178" s="7">
        <v>642.56079356150747</v>
      </c>
      <c r="G178" s="7">
        <v>530</v>
      </c>
      <c r="H178" s="7">
        <v>670</v>
      </c>
      <c r="I178" s="7">
        <v>830</v>
      </c>
      <c r="J178" s="7">
        <v>930</v>
      </c>
      <c r="K178" s="7">
        <v>990</v>
      </c>
      <c r="L178" s="7">
        <v>990</v>
      </c>
    </row>
    <row r="179" spans="1:12" ht="23.05" customHeight="1">
      <c r="A179" s="4">
        <v>1000</v>
      </c>
      <c r="B179" s="4" t="s">
        <v>45</v>
      </c>
      <c r="C179" s="4" t="s">
        <v>65</v>
      </c>
      <c r="D179" s="4" t="s">
        <v>64</v>
      </c>
      <c r="E179" s="4">
        <v>647108</v>
      </c>
      <c r="F179" s="7">
        <v>24.155457821569197</v>
      </c>
      <c r="G179" s="7">
        <v>10</v>
      </c>
      <c r="H179" s="7">
        <v>10</v>
      </c>
      <c r="I179" s="7">
        <v>20</v>
      </c>
      <c r="J179" s="7">
        <v>30</v>
      </c>
      <c r="K179" s="7">
        <v>230</v>
      </c>
      <c r="L179" s="7">
        <v>1000</v>
      </c>
    </row>
    <row r="180" spans="1:12" ht="23.05" customHeight="1">
      <c r="A180" s="4">
        <v>1000</v>
      </c>
      <c r="B180" s="4" t="s">
        <v>45</v>
      </c>
      <c r="C180" s="4" t="s">
        <v>66</v>
      </c>
      <c r="D180" s="4" t="s">
        <v>64</v>
      </c>
      <c r="E180" s="4">
        <v>647108</v>
      </c>
      <c r="F180" s="7">
        <v>187.79671228759341</v>
      </c>
      <c r="G180" s="7">
        <v>0</v>
      </c>
      <c r="H180" s="7">
        <v>4.1239999999999997</v>
      </c>
      <c r="I180" s="7">
        <v>242.91249999999999</v>
      </c>
      <c r="J180" s="7">
        <v>818.73360000000002</v>
      </c>
      <c r="K180" s="7">
        <v>992.99900000000002</v>
      </c>
      <c r="L180" s="7">
        <v>999.97299999999996</v>
      </c>
    </row>
    <row r="181" spans="1:12" ht="23.05" customHeight="1">
      <c r="A181" s="4">
        <v>1000</v>
      </c>
      <c r="B181" s="4" t="s">
        <v>45</v>
      </c>
      <c r="C181" s="4" t="s">
        <v>67</v>
      </c>
      <c r="D181" s="4" t="s">
        <v>58</v>
      </c>
      <c r="E181" s="4">
        <v>647108</v>
      </c>
      <c r="F181" s="7">
        <v>0</v>
      </c>
      <c r="G181" s="7">
        <v>0</v>
      </c>
      <c r="H181" s="7">
        <v>0</v>
      </c>
      <c r="I181" s="7">
        <v>0</v>
      </c>
      <c r="J181" s="7">
        <v>0</v>
      </c>
      <c r="K181" s="7">
        <v>0</v>
      </c>
      <c r="L181" s="7">
        <v>0</v>
      </c>
    </row>
    <row r="182" spans="1:12" ht="23.05" customHeight="1">
      <c r="A182" s="4">
        <v>1000</v>
      </c>
      <c r="B182" s="4" t="s">
        <v>45</v>
      </c>
      <c r="C182" s="4" t="s">
        <v>68</v>
      </c>
      <c r="D182" s="4" t="s">
        <v>62</v>
      </c>
      <c r="E182" s="4">
        <v>647108</v>
      </c>
      <c r="F182" s="5">
        <v>0</v>
      </c>
      <c r="G182" s="5">
        <v>0</v>
      </c>
      <c r="H182" s="5">
        <v>0</v>
      </c>
      <c r="I182" s="5">
        <v>0</v>
      </c>
      <c r="J182" s="5">
        <v>0</v>
      </c>
      <c r="K182" s="5">
        <v>0</v>
      </c>
      <c r="L182" s="5">
        <v>0</v>
      </c>
    </row>
    <row r="183" spans="1:12" ht="23.05" customHeight="1">
      <c r="A183" s="4">
        <v>1000</v>
      </c>
      <c r="B183" s="4" t="s">
        <v>45</v>
      </c>
      <c r="C183" s="4" t="s">
        <v>69</v>
      </c>
      <c r="D183" s="4" t="s">
        <v>70</v>
      </c>
      <c r="E183" s="4">
        <v>647108</v>
      </c>
      <c r="F183" s="7">
        <v>179080.85824159181</v>
      </c>
      <c r="G183" s="7">
        <v>44</v>
      </c>
      <c r="H183" s="7">
        <v>2033</v>
      </c>
      <c r="I183" s="7">
        <v>3315</v>
      </c>
      <c r="J183" s="7">
        <v>40559.300000000047</v>
      </c>
      <c r="K183" s="7">
        <v>2338562.5500000017</v>
      </c>
      <c r="L183" s="7">
        <v>270025031</v>
      </c>
    </row>
    <row r="184" spans="1:12" ht="23.05" customHeight="1">
      <c r="A184" s="4">
        <v>1000</v>
      </c>
      <c r="B184" s="4" t="s">
        <v>45</v>
      </c>
      <c r="C184" s="4" t="s">
        <v>71</v>
      </c>
      <c r="D184" s="4" t="s">
        <v>72</v>
      </c>
      <c r="E184" s="4">
        <v>647108</v>
      </c>
      <c r="F184" s="7">
        <v>382.84971442170394</v>
      </c>
      <c r="G184" s="7">
        <v>1</v>
      </c>
      <c r="H184" s="7">
        <v>24</v>
      </c>
      <c r="I184" s="7">
        <v>37</v>
      </c>
      <c r="J184" s="7">
        <v>266</v>
      </c>
      <c r="K184" s="7">
        <v>7383.9300000000512</v>
      </c>
      <c r="L184" s="7">
        <v>288028</v>
      </c>
    </row>
    <row r="185" spans="1:12" ht="23.05" customHeight="1">
      <c r="A185" s="4">
        <v>1000</v>
      </c>
      <c r="B185" s="4" t="s">
        <v>46</v>
      </c>
      <c r="C185" s="4" t="s">
        <v>58</v>
      </c>
      <c r="D185" s="4" t="s">
        <v>58</v>
      </c>
      <c r="E185" s="4">
        <v>1068</v>
      </c>
      <c r="F185" s="7">
        <v>2152.4475655430711</v>
      </c>
      <c r="G185" s="7">
        <v>1</v>
      </c>
      <c r="H185" s="7">
        <v>2</v>
      </c>
      <c r="I185" s="7">
        <v>12</v>
      </c>
      <c r="J185" s="7">
        <v>3528.6000000000477</v>
      </c>
      <c r="K185" s="7">
        <v>36174.639999999985</v>
      </c>
      <c r="L185" s="7">
        <v>85538</v>
      </c>
    </row>
    <row r="186" spans="1:12" ht="23.05" customHeight="1">
      <c r="A186" s="4">
        <v>1000</v>
      </c>
      <c r="B186" s="4" t="s">
        <v>46</v>
      </c>
      <c r="C186" s="4" t="s">
        <v>59</v>
      </c>
      <c r="D186" s="4" t="s">
        <v>60</v>
      </c>
      <c r="E186" s="4">
        <v>1068</v>
      </c>
      <c r="F186" s="7">
        <v>15.917602996254681</v>
      </c>
      <c r="G186" s="7">
        <v>1</v>
      </c>
      <c r="H186" s="7">
        <v>1</v>
      </c>
      <c r="I186" s="7">
        <v>6</v>
      </c>
      <c r="J186" s="7">
        <v>96</v>
      </c>
      <c r="K186" s="7">
        <v>100</v>
      </c>
      <c r="L186" s="7">
        <v>100</v>
      </c>
    </row>
    <row r="187" spans="1:12" ht="23.05" customHeight="1">
      <c r="A187" s="4">
        <v>1000</v>
      </c>
      <c r="B187" s="4" t="s">
        <v>46</v>
      </c>
      <c r="C187" s="4" t="s">
        <v>61</v>
      </c>
      <c r="D187" s="4" t="s">
        <v>62</v>
      </c>
      <c r="E187" s="4">
        <v>1068</v>
      </c>
      <c r="F187" s="5">
        <v>0.15917602996254682</v>
      </c>
      <c r="G187" s="5">
        <v>0.01</v>
      </c>
      <c r="H187" s="5">
        <v>0.01</v>
      </c>
      <c r="I187" s="5">
        <v>0.06</v>
      </c>
      <c r="J187" s="5">
        <v>0.96</v>
      </c>
      <c r="K187" s="5">
        <v>1</v>
      </c>
      <c r="L187" s="5">
        <v>1</v>
      </c>
    </row>
    <row r="188" spans="1:12" ht="23.05" customHeight="1">
      <c r="A188" s="4">
        <v>1000</v>
      </c>
      <c r="B188" s="4" t="s">
        <v>46</v>
      </c>
      <c r="C188" s="4" t="s">
        <v>63</v>
      </c>
      <c r="D188" s="4" t="s">
        <v>64</v>
      </c>
      <c r="E188" s="4">
        <v>1068</v>
      </c>
      <c r="F188" s="7">
        <v>554.51310861423224</v>
      </c>
      <c r="G188" s="7">
        <v>240</v>
      </c>
      <c r="H188" s="7">
        <v>620</v>
      </c>
      <c r="I188" s="7">
        <v>800</v>
      </c>
      <c r="J188" s="7">
        <v>920</v>
      </c>
      <c r="K188" s="7">
        <v>990</v>
      </c>
      <c r="L188" s="7">
        <v>990</v>
      </c>
    </row>
    <row r="189" spans="1:12" ht="23.05" customHeight="1">
      <c r="A189" s="4">
        <v>1000</v>
      </c>
      <c r="B189" s="4" t="s">
        <v>46</v>
      </c>
      <c r="C189" s="4" t="s">
        <v>65</v>
      </c>
      <c r="D189" s="4" t="s">
        <v>64</v>
      </c>
      <c r="E189" s="4">
        <v>1068</v>
      </c>
      <c r="F189" s="7">
        <v>138.22097378277152</v>
      </c>
      <c r="G189" s="7">
        <v>10</v>
      </c>
      <c r="H189" s="7">
        <v>10</v>
      </c>
      <c r="I189" s="7">
        <v>10</v>
      </c>
      <c r="J189" s="7">
        <v>753.00000000000068</v>
      </c>
      <c r="K189" s="7">
        <v>1000</v>
      </c>
      <c r="L189" s="7">
        <v>1000</v>
      </c>
    </row>
    <row r="190" spans="1:12" ht="23.05" customHeight="1">
      <c r="A190" s="4">
        <v>1000</v>
      </c>
      <c r="B190" s="4" t="s">
        <v>46</v>
      </c>
      <c r="C190" s="4" t="s">
        <v>66</v>
      </c>
      <c r="D190" s="4" t="s">
        <v>64</v>
      </c>
      <c r="E190" s="4">
        <v>1068</v>
      </c>
      <c r="F190" s="7">
        <v>274.56475655430711</v>
      </c>
      <c r="G190" s="7">
        <v>0</v>
      </c>
      <c r="H190" s="7">
        <v>0</v>
      </c>
      <c r="I190" s="7">
        <v>771.89375000000007</v>
      </c>
      <c r="J190" s="7">
        <v>990.48120000000006</v>
      </c>
      <c r="K190" s="7">
        <v>999.76300000000003</v>
      </c>
      <c r="L190" s="7">
        <v>999.94</v>
      </c>
    </row>
    <row r="191" spans="1:12" ht="23.05" customHeight="1">
      <c r="A191" s="4">
        <v>1000</v>
      </c>
      <c r="B191" s="4" t="s">
        <v>46</v>
      </c>
      <c r="C191" s="4" t="s">
        <v>67</v>
      </c>
      <c r="D191" s="4" t="s">
        <v>58</v>
      </c>
      <c r="E191" s="4">
        <v>1068</v>
      </c>
      <c r="F191" s="7">
        <v>2152.4475655430711</v>
      </c>
      <c r="G191" s="7">
        <v>1</v>
      </c>
      <c r="H191" s="7">
        <v>2</v>
      </c>
      <c r="I191" s="7">
        <v>12</v>
      </c>
      <c r="J191" s="7">
        <v>3528.6000000000477</v>
      </c>
      <c r="K191" s="7">
        <v>36174.639999999985</v>
      </c>
      <c r="L191" s="7">
        <v>85538</v>
      </c>
    </row>
    <row r="192" spans="1:12" ht="23.05" customHeight="1">
      <c r="A192" s="4">
        <v>1000</v>
      </c>
      <c r="B192" s="4" t="s">
        <v>46</v>
      </c>
      <c r="C192" s="4" t="s">
        <v>68</v>
      </c>
      <c r="D192" s="4" t="s">
        <v>62</v>
      </c>
      <c r="E192" s="4">
        <v>1068</v>
      </c>
      <c r="F192" s="5">
        <v>1</v>
      </c>
      <c r="G192" s="5">
        <v>1</v>
      </c>
      <c r="H192" s="5">
        <v>1</v>
      </c>
      <c r="I192" s="5">
        <v>1</v>
      </c>
      <c r="J192" s="5">
        <v>1</v>
      </c>
      <c r="K192" s="5">
        <v>1</v>
      </c>
      <c r="L192" s="5">
        <v>1</v>
      </c>
    </row>
    <row r="193" spans="1:12" ht="23.05" customHeight="1">
      <c r="A193" s="4">
        <v>1000</v>
      </c>
      <c r="B193" s="4" t="s">
        <v>46</v>
      </c>
      <c r="C193" s="4" t="s">
        <v>69</v>
      </c>
      <c r="D193" s="4" t="s">
        <v>70</v>
      </c>
      <c r="E193" s="4">
        <v>1068</v>
      </c>
      <c r="F193" s="7">
        <v>34458150.394194759</v>
      </c>
      <c r="G193" s="7">
        <v>160</v>
      </c>
      <c r="H193" s="7">
        <v>368</v>
      </c>
      <c r="I193" s="7">
        <v>38016</v>
      </c>
      <c r="J193" s="7">
        <v>10557314.4</v>
      </c>
      <c r="K193" s="7">
        <v>1196089727.9999986</v>
      </c>
      <c r="L193" s="7">
        <v>2868457509</v>
      </c>
    </row>
    <row r="194" spans="1:12" ht="23.05" customHeight="1">
      <c r="A194" s="4">
        <v>1000</v>
      </c>
      <c r="B194" s="4" t="s">
        <v>46</v>
      </c>
      <c r="C194" s="4" t="s">
        <v>71</v>
      </c>
      <c r="D194" s="4" t="s">
        <v>72</v>
      </c>
      <c r="E194" s="4">
        <v>1068</v>
      </c>
      <c r="F194" s="7">
        <v>503608.72284644196</v>
      </c>
      <c r="G194" s="7">
        <v>4</v>
      </c>
      <c r="H194" s="7">
        <v>8</v>
      </c>
      <c r="I194" s="7">
        <v>72</v>
      </c>
      <c r="J194" s="7">
        <v>69481.2</v>
      </c>
      <c r="K194" s="7">
        <v>19201150.819999933</v>
      </c>
      <c r="L194" s="7">
        <v>22458692</v>
      </c>
    </row>
    <row r="195" spans="1:12" ht="23.05" customHeight="1">
      <c r="A195" s="4">
        <v>1000</v>
      </c>
      <c r="B195" s="4" t="s">
        <v>47</v>
      </c>
      <c r="C195" s="4" t="s">
        <v>58</v>
      </c>
      <c r="D195" s="4" t="s">
        <v>58</v>
      </c>
      <c r="E195" s="4">
        <v>2080</v>
      </c>
      <c r="F195" s="7">
        <v>286.98750000000001</v>
      </c>
      <c r="G195" s="7">
        <v>16</v>
      </c>
      <c r="H195" s="7">
        <v>76</v>
      </c>
      <c r="I195" s="7">
        <v>199.75</v>
      </c>
      <c r="J195" s="7">
        <v>734.80000000000109</v>
      </c>
      <c r="K195" s="7">
        <v>2781.26</v>
      </c>
      <c r="L195" s="7">
        <v>14849</v>
      </c>
    </row>
    <row r="196" spans="1:12" ht="23.05" customHeight="1">
      <c r="A196" s="4">
        <v>1000</v>
      </c>
      <c r="B196" s="4" t="s">
        <v>47</v>
      </c>
      <c r="C196" s="4" t="s">
        <v>59</v>
      </c>
      <c r="D196" s="4" t="s">
        <v>60</v>
      </c>
      <c r="E196" s="4">
        <v>2080</v>
      </c>
      <c r="F196" s="7">
        <v>29.905288461538461</v>
      </c>
      <c r="G196" s="7">
        <v>7</v>
      </c>
      <c r="H196" s="7">
        <v>22</v>
      </c>
      <c r="I196" s="7">
        <v>44</v>
      </c>
      <c r="J196" s="7">
        <v>73</v>
      </c>
      <c r="K196" s="7">
        <v>100</v>
      </c>
      <c r="L196" s="7">
        <v>100</v>
      </c>
    </row>
    <row r="197" spans="1:12" ht="23.05" customHeight="1">
      <c r="A197" s="4">
        <v>1000</v>
      </c>
      <c r="B197" s="4" t="s">
        <v>47</v>
      </c>
      <c r="C197" s="4" t="s">
        <v>61</v>
      </c>
      <c r="D197" s="4" t="s">
        <v>62</v>
      </c>
      <c r="E197" s="4">
        <v>2080</v>
      </c>
      <c r="F197" s="5">
        <v>0.2990528846153846</v>
      </c>
      <c r="G197" s="5">
        <v>7.0000000000000007E-2</v>
      </c>
      <c r="H197" s="5">
        <v>0.22</v>
      </c>
      <c r="I197" s="5">
        <v>0.44</v>
      </c>
      <c r="J197" s="5">
        <v>0.73</v>
      </c>
      <c r="K197" s="5">
        <v>1</v>
      </c>
      <c r="L197" s="5">
        <v>1</v>
      </c>
    </row>
    <row r="198" spans="1:12" ht="23.05" customHeight="1">
      <c r="A198" s="4">
        <v>1000</v>
      </c>
      <c r="B198" s="4" t="s">
        <v>47</v>
      </c>
      <c r="C198" s="4" t="s">
        <v>63</v>
      </c>
      <c r="D198" s="4" t="s">
        <v>64</v>
      </c>
      <c r="E198" s="4">
        <v>2080</v>
      </c>
      <c r="F198" s="7">
        <v>278.97596153846155</v>
      </c>
      <c r="G198" s="7">
        <v>80</v>
      </c>
      <c r="H198" s="7">
        <v>190</v>
      </c>
      <c r="I198" s="7">
        <v>450</v>
      </c>
      <c r="J198" s="7">
        <v>660</v>
      </c>
      <c r="K198" s="7">
        <v>932.10000000000036</v>
      </c>
      <c r="L198" s="7">
        <v>990</v>
      </c>
    </row>
    <row r="199" spans="1:12" ht="23.05" customHeight="1">
      <c r="A199" s="4">
        <v>1000</v>
      </c>
      <c r="B199" s="4" t="s">
        <v>47</v>
      </c>
      <c r="C199" s="4" t="s">
        <v>65</v>
      </c>
      <c r="D199" s="4" t="s">
        <v>64</v>
      </c>
      <c r="E199" s="4">
        <v>2080</v>
      </c>
      <c r="F199" s="7">
        <v>110.33173076923077</v>
      </c>
      <c r="G199" s="7">
        <v>20</v>
      </c>
      <c r="H199" s="7">
        <v>30</v>
      </c>
      <c r="I199" s="7">
        <v>80</v>
      </c>
      <c r="J199" s="7">
        <v>210</v>
      </c>
      <c r="K199" s="7">
        <v>1000</v>
      </c>
      <c r="L199" s="7">
        <v>1000</v>
      </c>
    </row>
    <row r="200" spans="1:12" ht="23.05" customHeight="1">
      <c r="A200" s="4">
        <v>1000</v>
      </c>
      <c r="B200" s="4" t="s">
        <v>47</v>
      </c>
      <c r="C200" s="4" t="s">
        <v>66</v>
      </c>
      <c r="D200" s="4" t="s">
        <v>64</v>
      </c>
      <c r="E200" s="4">
        <v>2080</v>
      </c>
      <c r="F200" s="7">
        <v>724.55315817307689</v>
      </c>
      <c r="G200" s="7">
        <v>537.07674999999995</v>
      </c>
      <c r="H200" s="7">
        <v>892.11950000000002</v>
      </c>
      <c r="I200" s="7">
        <v>972.38874999999996</v>
      </c>
      <c r="J200" s="7">
        <v>992.44979999999998</v>
      </c>
      <c r="K200" s="7">
        <v>999.12963999999999</v>
      </c>
      <c r="L200" s="7">
        <v>999.86500000000001</v>
      </c>
    </row>
    <row r="201" spans="1:12" ht="23.05" customHeight="1">
      <c r="A201" s="4">
        <v>1000</v>
      </c>
      <c r="B201" s="4" t="s">
        <v>47</v>
      </c>
      <c r="C201" s="4" t="s">
        <v>67</v>
      </c>
      <c r="D201" s="4" t="s">
        <v>58</v>
      </c>
      <c r="E201" s="4">
        <v>2080</v>
      </c>
      <c r="F201" s="7">
        <v>145.23509615384614</v>
      </c>
      <c r="G201" s="7">
        <v>1</v>
      </c>
      <c r="H201" s="7">
        <v>2</v>
      </c>
      <c r="I201" s="7">
        <v>78.25</v>
      </c>
      <c r="J201" s="7">
        <v>330</v>
      </c>
      <c r="K201" s="7">
        <v>2604.42</v>
      </c>
      <c r="L201" s="7">
        <v>11005</v>
      </c>
    </row>
    <row r="202" spans="1:12" ht="23.05" customHeight="1">
      <c r="A202" s="4">
        <v>1000</v>
      </c>
      <c r="B202" s="4" t="s">
        <v>47</v>
      </c>
      <c r="C202" s="4" t="s">
        <v>68</v>
      </c>
      <c r="D202" s="4" t="s">
        <v>62</v>
      </c>
      <c r="E202" s="4">
        <v>2080</v>
      </c>
      <c r="F202" s="5">
        <v>0.33310960814364615</v>
      </c>
      <c r="G202" s="5">
        <v>3.7037037037037035E-2</v>
      </c>
      <c r="H202" s="5">
        <v>0.16749125550025601</v>
      </c>
      <c r="I202" s="5">
        <v>0.65584784712143207</v>
      </c>
      <c r="J202" s="5">
        <v>0.88120490015103203</v>
      </c>
      <c r="K202" s="5">
        <v>0.99798792756539234</v>
      </c>
      <c r="L202" s="5">
        <v>0.99951853635050558</v>
      </c>
    </row>
    <row r="203" spans="1:12" ht="23.05" customHeight="1">
      <c r="A203" s="4">
        <v>1000</v>
      </c>
      <c r="B203" s="4" t="s">
        <v>47</v>
      </c>
      <c r="C203" s="4" t="s">
        <v>69</v>
      </c>
      <c r="D203" s="4" t="s">
        <v>70</v>
      </c>
      <c r="E203" s="4">
        <v>2080</v>
      </c>
      <c r="F203" s="7">
        <v>665009.12788461533</v>
      </c>
      <c r="G203" s="7">
        <v>2280</v>
      </c>
      <c r="H203" s="7">
        <v>17073.5</v>
      </c>
      <c r="I203" s="7">
        <v>388382.5</v>
      </c>
      <c r="J203" s="7">
        <v>1657967.7000000004</v>
      </c>
      <c r="K203" s="7">
        <v>7169232.2600000016</v>
      </c>
      <c r="L203" s="7">
        <v>56284230</v>
      </c>
    </row>
    <row r="204" spans="1:12" ht="23.05" customHeight="1">
      <c r="A204" s="4">
        <v>1000</v>
      </c>
      <c r="B204" s="4" t="s">
        <v>47</v>
      </c>
      <c r="C204" s="4" t="s">
        <v>71</v>
      </c>
      <c r="D204" s="4" t="s">
        <v>72</v>
      </c>
      <c r="E204" s="4">
        <v>2080</v>
      </c>
      <c r="F204" s="7">
        <v>2711.7927884615383</v>
      </c>
      <c r="G204" s="7">
        <v>46</v>
      </c>
      <c r="H204" s="7">
        <v>137.5</v>
      </c>
      <c r="I204" s="7">
        <v>1839</v>
      </c>
      <c r="J204" s="7">
        <v>8723.4000000000069</v>
      </c>
      <c r="K204" s="7">
        <v>32752.700000000041</v>
      </c>
      <c r="L204" s="7">
        <v>71277</v>
      </c>
    </row>
  </sheetData>
  <phoneticPr fontId="7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488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B5" sqref="B5"/>
    </sheetView>
  </sheetViews>
  <sheetFormatPr defaultRowHeight="14.15"/>
  <cols>
    <col min="1" max="1" width="19" customWidth="1"/>
    <col min="2" max="2" width="24" customWidth="1"/>
    <col min="3" max="7" width="19" customWidth="1"/>
  </cols>
  <sheetData>
    <row r="1" spans="1:7" ht="23.05" customHeight="1">
      <c r="A1" s="1"/>
      <c r="B1" s="1"/>
      <c r="C1" s="1"/>
      <c r="D1" s="1"/>
      <c r="E1" s="1"/>
      <c r="F1" s="1"/>
      <c r="G1" s="1"/>
    </row>
    <row r="2" spans="1:7" ht="23.05" customHeight="1">
      <c r="A2" s="2" t="s">
        <v>73</v>
      </c>
      <c r="B2" s="1"/>
      <c r="C2" s="1"/>
      <c r="D2" s="1"/>
      <c r="E2" s="1"/>
      <c r="F2" s="1"/>
      <c r="G2" s="1"/>
    </row>
    <row r="3" spans="1:7" ht="23.05" customHeight="1">
      <c r="A3" s="1"/>
      <c r="B3" s="1"/>
      <c r="C3" s="1"/>
      <c r="D3" s="1"/>
      <c r="E3" s="1"/>
      <c r="F3" s="1"/>
      <c r="G3" s="1"/>
    </row>
    <row r="4" spans="1:7" ht="45" customHeight="1">
      <c r="A4" s="3" t="s">
        <v>35</v>
      </c>
      <c r="B4" s="3" t="s">
        <v>36</v>
      </c>
      <c r="C4" s="3" t="s">
        <v>41</v>
      </c>
      <c r="D4" s="3" t="s">
        <v>74</v>
      </c>
      <c r="E4" s="3" t="s">
        <v>75</v>
      </c>
      <c r="F4" s="3" t="s">
        <v>37</v>
      </c>
      <c r="G4" s="3" t="s">
        <v>76</v>
      </c>
    </row>
    <row r="5" spans="1:7" ht="23.05" customHeight="1">
      <c r="A5" s="4">
        <v>50</v>
      </c>
      <c r="B5" s="4" t="s">
        <v>46</v>
      </c>
      <c r="C5" s="4">
        <v>1</v>
      </c>
      <c r="D5" s="4">
        <v>5</v>
      </c>
      <c r="E5" s="5">
        <v>0.2</v>
      </c>
      <c r="F5" s="4">
        <v>4009</v>
      </c>
      <c r="G5" s="5">
        <v>0.41164390594516892</v>
      </c>
    </row>
    <row r="6" spans="1:7" ht="23.05" customHeight="1">
      <c r="A6" s="4">
        <v>50</v>
      </c>
      <c r="B6" s="4" t="s">
        <v>46</v>
      </c>
      <c r="C6" s="4">
        <v>2</v>
      </c>
      <c r="D6" s="4">
        <v>5</v>
      </c>
      <c r="E6" s="5">
        <v>0.4</v>
      </c>
      <c r="F6" s="4">
        <v>912</v>
      </c>
      <c r="G6" s="5">
        <v>9.3644111305062117E-2</v>
      </c>
    </row>
    <row r="7" spans="1:7" ht="23.05" customHeight="1">
      <c r="A7" s="4">
        <v>50</v>
      </c>
      <c r="B7" s="4" t="s">
        <v>46</v>
      </c>
      <c r="C7" s="4">
        <v>3</v>
      </c>
      <c r="D7" s="4">
        <v>5</v>
      </c>
      <c r="E7" s="5">
        <v>0.6</v>
      </c>
      <c r="F7" s="4">
        <v>302</v>
      </c>
      <c r="G7" s="5">
        <v>3.1009343875141183E-2</v>
      </c>
    </row>
    <row r="8" spans="1:7" ht="23.05" customHeight="1">
      <c r="A8" s="4">
        <v>50</v>
      </c>
      <c r="B8" s="4" t="s">
        <v>46</v>
      </c>
      <c r="C8" s="4">
        <v>4</v>
      </c>
      <c r="D8" s="4">
        <v>5</v>
      </c>
      <c r="E8" s="5">
        <v>0.8</v>
      </c>
      <c r="F8" s="4">
        <v>112</v>
      </c>
      <c r="G8" s="5">
        <v>1.150015401991991E-2</v>
      </c>
    </row>
    <row r="9" spans="1:7" ht="23.05" customHeight="1">
      <c r="A9" s="4">
        <v>50</v>
      </c>
      <c r="B9" s="4" t="s">
        <v>46</v>
      </c>
      <c r="C9" s="4">
        <v>5</v>
      </c>
      <c r="D9" s="4">
        <v>5</v>
      </c>
      <c r="E9" s="5">
        <v>1</v>
      </c>
      <c r="F9" s="4">
        <v>4404</v>
      </c>
      <c r="G9" s="5">
        <v>0.45220248485470788</v>
      </c>
    </row>
    <row r="10" spans="1:7" ht="23.05" customHeight="1">
      <c r="A10" s="4">
        <v>50</v>
      </c>
      <c r="B10" s="4" t="s">
        <v>45</v>
      </c>
      <c r="C10" s="4">
        <v>1</v>
      </c>
      <c r="D10" s="4">
        <v>5</v>
      </c>
      <c r="E10" s="5">
        <v>0.2</v>
      </c>
      <c r="F10" s="4">
        <v>1114107</v>
      </c>
      <c r="G10" s="5">
        <v>0.57291876648140305</v>
      </c>
    </row>
    <row r="11" spans="1:7" ht="23.05" customHeight="1">
      <c r="A11" s="4">
        <v>50</v>
      </c>
      <c r="B11" s="4" t="s">
        <v>45</v>
      </c>
      <c r="C11" s="4">
        <v>2</v>
      </c>
      <c r="D11" s="4">
        <v>5</v>
      </c>
      <c r="E11" s="5">
        <v>0.4</v>
      </c>
      <c r="F11" s="4">
        <v>398159</v>
      </c>
      <c r="G11" s="5">
        <v>0.2047494209653731</v>
      </c>
    </row>
    <row r="12" spans="1:7" ht="23.05" customHeight="1">
      <c r="A12" s="4">
        <v>50</v>
      </c>
      <c r="B12" s="4" t="s">
        <v>45</v>
      </c>
      <c r="C12" s="4">
        <v>3</v>
      </c>
      <c r="D12" s="4">
        <v>5</v>
      </c>
      <c r="E12" s="5">
        <v>0.6</v>
      </c>
      <c r="F12" s="4">
        <v>180329</v>
      </c>
      <c r="G12" s="5">
        <v>9.2732446920111733E-2</v>
      </c>
    </row>
    <row r="13" spans="1:7" ht="23.05" customHeight="1">
      <c r="A13" s="4">
        <v>50</v>
      </c>
      <c r="B13" s="4" t="s">
        <v>45</v>
      </c>
      <c r="C13" s="4">
        <v>4</v>
      </c>
      <c r="D13" s="4">
        <v>5</v>
      </c>
      <c r="E13" s="5">
        <v>0.8</v>
      </c>
      <c r="F13" s="4">
        <v>102653</v>
      </c>
      <c r="G13" s="5">
        <v>5.2788313991039879E-2</v>
      </c>
    </row>
    <row r="14" spans="1:7" ht="23.05" customHeight="1">
      <c r="A14" s="4">
        <v>50</v>
      </c>
      <c r="B14" s="4" t="s">
        <v>45</v>
      </c>
      <c r="C14" s="4">
        <v>5</v>
      </c>
      <c r="D14" s="4">
        <v>5</v>
      </c>
      <c r="E14" s="5">
        <v>1</v>
      </c>
      <c r="F14" s="4">
        <v>149368</v>
      </c>
      <c r="G14" s="5">
        <v>7.6811051642072262E-2</v>
      </c>
    </row>
    <row r="15" spans="1:7" ht="23.05" customHeight="1">
      <c r="A15" s="4">
        <v>50</v>
      </c>
      <c r="B15" s="4" t="s">
        <v>47</v>
      </c>
      <c r="C15" s="4">
        <v>1</v>
      </c>
      <c r="D15" s="4">
        <v>5</v>
      </c>
      <c r="E15" s="5">
        <v>0.2</v>
      </c>
      <c r="F15" s="4">
        <v>981</v>
      </c>
      <c r="G15" s="5">
        <v>0.15124884366327473</v>
      </c>
    </row>
    <row r="16" spans="1:7" ht="23.05" customHeight="1">
      <c r="A16" s="4">
        <v>50</v>
      </c>
      <c r="B16" s="4" t="s">
        <v>47</v>
      </c>
      <c r="C16" s="4">
        <v>2</v>
      </c>
      <c r="D16" s="4">
        <v>5</v>
      </c>
      <c r="E16" s="5">
        <v>0.4</v>
      </c>
      <c r="F16" s="4">
        <v>1624</v>
      </c>
      <c r="G16" s="5">
        <v>0.2503854455750848</v>
      </c>
    </row>
    <row r="17" spans="1:7" ht="23.05" customHeight="1">
      <c r="A17" s="4">
        <v>50</v>
      </c>
      <c r="B17" s="4" t="s">
        <v>47</v>
      </c>
      <c r="C17" s="4">
        <v>3</v>
      </c>
      <c r="D17" s="4">
        <v>5</v>
      </c>
      <c r="E17" s="5">
        <v>0.6</v>
      </c>
      <c r="F17" s="4">
        <v>1360</v>
      </c>
      <c r="G17" s="5">
        <v>0.20968239284613013</v>
      </c>
    </row>
    <row r="18" spans="1:7" ht="23.05" customHeight="1">
      <c r="A18" s="4">
        <v>50</v>
      </c>
      <c r="B18" s="4" t="s">
        <v>47</v>
      </c>
      <c r="C18" s="4">
        <v>4</v>
      </c>
      <c r="D18" s="4">
        <v>5</v>
      </c>
      <c r="E18" s="5">
        <v>0.8</v>
      </c>
      <c r="F18" s="4">
        <v>1049</v>
      </c>
      <c r="G18" s="5">
        <v>0.16173296330558126</v>
      </c>
    </row>
    <row r="19" spans="1:7" ht="23.05" customHeight="1">
      <c r="A19" s="4">
        <v>50</v>
      </c>
      <c r="B19" s="4" t="s">
        <v>47</v>
      </c>
      <c r="C19" s="4">
        <v>5</v>
      </c>
      <c r="D19" s="4">
        <v>5</v>
      </c>
      <c r="E19" s="5">
        <v>1</v>
      </c>
      <c r="F19" s="4">
        <v>1472</v>
      </c>
      <c r="G19" s="5">
        <v>0.22695035460992907</v>
      </c>
    </row>
    <row r="20" spans="1:7" ht="23.05" customHeight="1">
      <c r="A20" s="4">
        <v>100</v>
      </c>
      <c r="B20" s="4" t="s">
        <v>46</v>
      </c>
      <c r="C20" s="4">
        <v>1</v>
      </c>
      <c r="D20" s="4">
        <v>10</v>
      </c>
      <c r="E20" s="5">
        <v>0.1</v>
      </c>
      <c r="F20" s="4">
        <v>2500</v>
      </c>
      <c r="G20" s="5">
        <v>0.43798177995795373</v>
      </c>
    </row>
    <row r="21" spans="1:7" ht="23.05" customHeight="1">
      <c r="A21" s="4">
        <v>100</v>
      </c>
      <c r="B21" s="4" t="s">
        <v>46</v>
      </c>
      <c r="C21" s="4">
        <v>2</v>
      </c>
      <c r="D21" s="4">
        <v>10</v>
      </c>
      <c r="E21" s="5">
        <v>0.2</v>
      </c>
      <c r="F21" s="4">
        <v>683</v>
      </c>
      <c r="G21" s="5">
        <v>0.11965662228451296</v>
      </c>
    </row>
    <row r="22" spans="1:7" ht="23.05" customHeight="1">
      <c r="A22" s="4">
        <v>100</v>
      </c>
      <c r="B22" s="4" t="s">
        <v>46</v>
      </c>
      <c r="C22" s="4">
        <v>3</v>
      </c>
      <c r="D22" s="4">
        <v>10</v>
      </c>
      <c r="E22" s="5">
        <v>0.3</v>
      </c>
      <c r="F22" s="4">
        <v>191</v>
      </c>
      <c r="G22" s="5">
        <v>3.3461807988787666E-2</v>
      </c>
    </row>
    <row r="23" spans="1:7" ht="23.05" customHeight="1">
      <c r="A23" s="4">
        <v>100</v>
      </c>
      <c r="B23" s="4" t="s">
        <v>46</v>
      </c>
      <c r="C23" s="4">
        <v>4</v>
      </c>
      <c r="D23" s="4">
        <v>10</v>
      </c>
      <c r="E23" s="5">
        <v>0.4</v>
      </c>
      <c r="F23" s="4">
        <v>96</v>
      </c>
      <c r="G23" s="5">
        <v>1.6818500350385426E-2</v>
      </c>
    </row>
    <row r="24" spans="1:7" ht="23.05" customHeight="1">
      <c r="A24" s="4">
        <v>100</v>
      </c>
      <c r="B24" s="4" t="s">
        <v>46</v>
      </c>
      <c r="C24" s="4">
        <v>5</v>
      </c>
      <c r="D24" s="4">
        <v>10</v>
      </c>
      <c r="E24" s="5">
        <v>0.5</v>
      </c>
      <c r="F24" s="4">
        <v>41</v>
      </c>
      <c r="G24" s="5">
        <v>7.1829011913104417E-3</v>
      </c>
    </row>
    <row r="25" spans="1:7" ht="23.05" customHeight="1">
      <c r="A25" s="4">
        <v>100</v>
      </c>
      <c r="B25" s="4" t="s">
        <v>46</v>
      </c>
      <c r="C25" s="4">
        <v>6</v>
      </c>
      <c r="D25" s="4">
        <v>10</v>
      </c>
      <c r="E25" s="5">
        <v>0.6</v>
      </c>
      <c r="F25" s="4">
        <v>25</v>
      </c>
      <c r="G25" s="5">
        <v>4.3798177995795374E-3</v>
      </c>
    </row>
    <row r="26" spans="1:7" ht="23.05" customHeight="1">
      <c r="A26" s="4">
        <v>100</v>
      </c>
      <c r="B26" s="4" t="s">
        <v>46</v>
      </c>
      <c r="C26" s="4">
        <v>7</v>
      </c>
      <c r="D26" s="4">
        <v>10</v>
      </c>
      <c r="E26" s="5">
        <v>0.7</v>
      </c>
      <c r="F26" s="4">
        <v>47</v>
      </c>
      <c r="G26" s="5">
        <v>8.234057463209531E-3</v>
      </c>
    </row>
    <row r="27" spans="1:7" ht="23.05" customHeight="1">
      <c r="A27" s="4">
        <v>100</v>
      </c>
      <c r="B27" s="4" t="s">
        <v>46</v>
      </c>
      <c r="C27" s="4">
        <v>8</v>
      </c>
      <c r="D27" s="4">
        <v>10</v>
      </c>
      <c r="E27" s="5">
        <v>0.8</v>
      </c>
      <c r="F27" s="4">
        <v>35</v>
      </c>
      <c r="G27" s="5">
        <v>6.1317449194113523E-3</v>
      </c>
    </row>
    <row r="28" spans="1:7" ht="23.05" customHeight="1">
      <c r="A28" s="4">
        <v>100</v>
      </c>
      <c r="B28" s="4" t="s">
        <v>46</v>
      </c>
      <c r="C28" s="4">
        <v>9</v>
      </c>
      <c r="D28" s="4">
        <v>10</v>
      </c>
      <c r="E28" s="5">
        <v>0.9</v>
      </c>
      <c r="F28" s="4">
        <v>25</v>
      </c>
      <c r="G28" s="5">
        <v>4.3798177995795374E-3</v>
      </c>
    </row>
    <row r="29" spans="1:7" ht="23.05" customHeight="1">
      <c r="A29" s="4">
        <v>100</v>
      </c>
      <c r="B29" s="4" t="s">
        <v>46</v>
      </c>
      <c r="C29" s="4">
        <v>10</v>
      </c>
      <c r="D29" s="4">
        <v>10</v>
      </c>
      <c r="E29" s="5">
        <v>1</v>
      </c>
      <c r="F29" s="4">
        <v>2065</v>
      </c>
      <c r="G29" s="5">
        <v>0.36177295024526979</v>
      </c>
    </row>
    <row r="30" spans="1:7" ht="23.05" customHeight="1">
      <c r="A30" s="4">
        <v>100</v>
      </c>
      <c r="B30" s="4" t="s">
        <v>45</v>
      </c>
      <c r="C30" s="4">
        <v>1</v>
      </c>
      <c r="D30" s="4">
        <v>10</v>
      </c>
      <c r="E30" s="5">
        <v>0.1</v>
      </c>
      <c r="F30" s="4">
        <v>759022</v>
      </c>
      <c r="G30" s="5">
        <v>0.52139691855796366</v>
      </c>
    </row>
    <row r="31" spans="1:7" ht="23.05" customHeight="1">
      <c r="A31" s="4">
        <v>100</v>
      </c>
      <c r="B31" s="4" t="s">
        <v>45</v>
      </c>
      <c r="C31" s="4">
        <v>2</v>
      </c>
      <c r="D31" s="4">
        <v>10</v>
      </c>
      <c r="E31" s="5">
        <v>0.2</v>
      </c>
      <c r="F31" s="4">
        <v>268850</v>
      </c>
      <c r="G31" s="5">
        <v>0.18468181627714156</v>
      </c>
    </row>
    <row r="32" spans="1:7" ht="23.05" customHeight="1">
      <c r="A32" s="4">
        <v>100</v>
      </c>
      <c r="B32" s="4" t="s">
        <v>45</v>
      </c>
      <c r="C32" s="4">
        <v>3</v>
      </c>
      <c r="D32" s="4">
        <v>10</v>
      </c>
      <c r="E32" s="5">
        <v>0.3</v>
      </c>
      <c r="F32" s="4">
        <v>125380</v>
      </c>
      <c r="G32" s="5">
        <v>8.6127603216767754E-2</v>
      </c>
    </row>
    <row r="33" spans="1:7" ht="23.05" customHeight="1">
      <c r="A33" s="4">
        <v>100</v>
      </c>
      <c r="B33" s="4" t="s">
        <v>45</v>
      </c>
      <c r="C33" s="4">
        <v>4</v>
      </c>
      <c r="D33" s="4">
        <v>10</v>
      </c>
      <c r="E33" s="5">
        <v>0.4</v>
      </c>
      <c r="F33" s="4">
        <v>81374</v>
      </c>
      <c r="G33" s="5">
        <v>5.5898449387153125E-2</v>
      </c>
    </row>
    <row r="34" spans="1:7" ht="23.05" customHeight="1">
      <c r="A34" s="4">
        <v>100</v>
      </c>
      <c r="B34" s="4" t="s">
        <v>45</v>
      </c>
      <c r="C34" s="4">
        <v>5</v>
      </c>
      <c r="D34" s="4">
        <v>10</v>
      </c>
      <c r="E34" s="5">
        <v>0.5</v>
      </c>
      <c r="F34" s="4">
        <v>57257</v>
      </c>
      <c r="G34" s="5">
        <v>3.9331697059997374E-2</v>
      </c>
    </row>
    <row r="35" spans="1:7" ht="23.05" customHeight="1">
      <c r="A35" s="4">
        <v>100</v>
      </c>
      <c r="B35" s="4" t="s">
        <v>45</v>
      </c>
      <c r="C35" s="4">
        <v>6</v>
      </c>
      <c r="D35" s="4">
        <v>10</v>
      </c>
      <c r="E35" s="5">
        <v>0.6</v>
      </c>
      <c r="F35" s="4">
        <v>40915</v>
      </c>
      <c r="G35" s="5">
        <v>2.8105845315154351E-2</v>
      </c>
    </row>
    <row r="36" spans="1:7" ht="23.05" customHeight="1">
      <c r="A36" s="4">
        <v>100</v>
      </c>
      <c r="B36" s="4" t="s">
        <v>45</v>
      </c>
      <c r="C36" s="4">
        <v>7</v>
      </c>
      <c r="D36" s="4">
        <v>10</v>
      </c>
      <c r="E36" s="5">
        <v>0.7</v>
      </c>
      <c r="F36" s="4">
        <v>31311</v>
      </c>
      <c r="G36" s="5">
        <v>2.1508545097465425E-2</v>
      </c>
    </row>
    <row r="37" spans="1:7" ht="23.05" customHeight="1">
      <c r="A37" s="4">
        <v>100</v>
      </c>
      <c r="B37" s="4" t="s">
        <v>45</v>
      </c>
      <c r="C37" s="4">
        <v>8</v>
      </c>
      <c r="D37" s="4">
        <v>10</v>
      </c>
      <c r="E37" s="5">
        <v>0.8</v>
      </c>
      <c r="F37" s="4">
        <v>22505</v>
      </c>
      <c r="G37" s="5">
        <v>1.5459417055298756E-2</v>
      </c>
    </row>
    <row r="38" spans="1:7" ht="23.05" customHeight="1">
      <c r="A38" s="4">
        <v>100</v>
      </c>
      <c r="B38" s="4" t="s">
        <v>45</v>
      </c>
      <c r="C38" s="4">
        <v>9</v>
      </c>
      <c r="D38" s="4">
        <v>10</v>
      </c>
      <c r="E38" s="5">
        <v>0.9</v>
      </c>
      <c r="F38" s="4">
        <v>15456</v>
      </c>
      <c r="G38" s="5">
        <v>1.0617229504852149E-2</v>
      </c>
    </row>
    <row r="39" spans="1:7" ht="23.05" customHeight="1">
      <c r="A39" s="4">
        <v>100</v>
      </c>
      <c r="B39" s="4" t="s">
        <v>45</v>
      </c>
      <c r="C39" s="4">
        <v>10</v>
      </c>
      <c r="D39" s="4">
        <v>10</v>
      </c>
      <c r="E39" s="5">
        <v>1</v>
      </c>
      <c r="F39" s="4">
        <v>53677</v>
      </c>
      <c r="G39" s="5">
        <v>3.6872478528205792E-2</v>
      </c>
    </row>
    <row r="40" spans="1:7" ht="23.05" customHeight="1">
      <c r="A40" s="4">
        <v>100</v>
      </c>
      <c r="B40" s="4" t="s">
        <v>47</v>
      </c>
      <c r="C40" s="4">
        <v>1</v>
      </c>
      <c r="D40" s="4">
        <v>10</v>
      </c>
      <c r="E40" s="5">
        <v>0.1</v>
      </c>
      <c r="F40" s="4">
        <v>425</v>
      </c>
      <c r="G40" s="5">
        <v>8.1573896353166989E-2</v>
      </c>
    </row>
    <row r="41" spans="1:7" ht="23.05" customHeight="1">
      <c r="A41" s="4">
        <v>100</v>
      </c>
      <c r="B41" s="4" t="s">
        <v>47</v>
      </c>
      <c r="C41" s="4">
        <v>2</v>
      </c>
      <c r="D41" s="4">
        <v>10</v>
      </c>
      <c r="E41" s="5">
        <v>0.2</v>
      </c>
      <c r="F41" s="4">
        <v>922</v>
      </c>
      <c r="G41" s="5">
        <v>0.17696737044145874</v>
      </c>
    </row>
    <row r="42" spans="1:7" ht="23.05" customHeight="1">
      <c r="A42" s="4">
        <v>100</v>
      </c>
      <c r="B42" s="4" t="s">
        <v>47</v>
      </c>
      <c r="C42" s="4">
        <v>3</v>
      </c>
      <c r="D42" s="4">
        <v>10</v>
      </c>
      <c r="E42" s="5">
        <v>0.3</v>
      </c>
      <c r="F42" s="4">
        <v>756</v>
      </c>
      <c r="G42" s="5">
        <v>0.14510556621880999</v>
      </c>
    </row>
    <row r="43" spans="1:7" ht="23.05" customHeight="1">
      <c r="A43" s="4">
        <v>100</v>
      </c>
      <c r="B43" s="4" t="s">
        <v>47</v>
      </c>
      <c r="C43" s="4">
        <v>4</v>
      </c>
      <c r="D43" s="4">
        <v>10</v>
      </c>
      <c r="E43" s="5">
        <v>0.4</v>
      </c>
      <c r="F43" s="4">
        <v>535</v>
      </c>
      <c r="G43" s="5">
        <v>0.10268714011516315</v>
      </c>
    </row>
    <row r="44" spans="1:7" ht="23.05" customHeight="1">
      <c r="A44" s="4">
        <v>100</v>
      </c>
      <c r="B44" s="4" t="s">
        <v>47</v>
      </c>
      <c r="C44" s="4">
        <v>5</v>
      </c>
      <c r="D44" s="4">
        <v>10</v>
      </c>
      <c r="E44" s="5">
        <v>0.5</v>
      </c>
      <c r="F44" s="4">
        <v>489</v>
      </c>
      <c r="G44" s="5">
        <v>9.3857965451055667E-2</v>
      </c>
    </row>
    <row r="45" spans="1:7" ht="23.05" customHeight="1">
      <c r="A45" s="4">
        <v>100</v>
      </c>
      <c r="B45" s="4" t="s">
        <v>47</v>
      </c>
      <c r="C45" s="4">
        <v>6</v>
      </c>
      <c r="D45" s="4">
        <v>10</v>
      </c>
      <c r="E45" s="5">
        <v>0.6</v>
      </c>
      <c r="F45" s="4">
        <v>440</v>
      </c>
      <c r="G45" s="5">
        <v>8.4452975047984644E-2</v>
      </c>
    </row>
    <row r="46" spans="1:7" ht="23.05" customHeight="1">
      <c r="A46" s="4">
        <v>100</v>
      </c>
      <c r="B46" s="4" t="s">
        <v>47</v>
      </c>
      <c r="C46" s="4">
        <v>7</v>
      </c>
      <c r="D46" s="4">
        <v>10</v>
      </c>
      <c r="E46" s="5">
        <v>0.7</v>
      </c>
      <c r="F46" s="4">
        <v>400</v>
      </c>
      <c r="G46" s="5">
        <v>7.6775431861804216E-2</v>
      </c>
    </row>
    <row r="47" spans="1:7" ht="23.05" customHeight="1">
      <c r="A47" s="4">
        <v>100</v>
      </c>
      <c r="B47" s="4" t="s">
        <v>47</v>
      </c>
      <c r="C47" s="4">
        <v>8</v>
      </c>
      <c r="D47" s="4">
        <v>10</v>
      </c>
      <c r="E47" s="5">
        <v>0.8</v>
      </c>
      <c r="F47" s="4">
        <v>349</v>
      </c>
      <c r="G47" s="5">
        <v>6.6986564299424178E-2</v>
      </c>
    </row>
    <row r="48" spans="1:7" ht="23.05" customHeight="1">
      <c r="A48" s="4">
        <v>100</v>
      </c>
      <c r="B48" s="4" t="s">
        <v>47</v>
      </c>
      <c r="C48" s="4">
        <v>9</v>
      </c>
      <c r="D48" s="4">
        <v>10</v>
      </c>
      <c r="E48" s="5">
        <v>0.9</v>
      </c>
      <c r="F48" s="4">
        <v>244</v>
      </c>
      <c r="G48" s="5">
        <v>4.6833013435700573E-2</v>
      </c>
    </row>
    <row r="49" spans="1:7" ht="23.05" customHeight="1">
      <c r="A49" s="4">
        <v>100</v>
      </c>
      <c r="B49" s="4" t="s">
        <v>47</v>
      </c>
      <c r="C49" s="4">
        <v>10</v>
      </c>
      <c r="D49" s="4">
        <v>10</v>
      </c>
      <c r="E49" s="5">
        <v>1</v>
      </c>
      <c r="F49" s="4">
        <v>650</v>
      </c>
      <c r="G49" s="5">
        <v>0.12476007677543186</v>
      </c>
    </row>
    <row r="50" spans="1:7" ht="23.05" customHeight="1">
      <c r="A50" s="4">
        <v>200</v>
      </c>
      <c r="B50" s="4" t="s">
        <v>46</v>
      </c>
      <c r="C50" s="4">
        <v>1</v>
      </c>
      <c r="D50" s="4">
        <v>20</v>
      </c>
      <c r="E50" s="5">
        <v>0.05</v>
      </c>
      <c r="F50" s="4">
        <v>1526</v>
      </c>
      <c r="G50" s="5">
        <v>0.46510210301737276</v>
      </c>
    </row>
    <row r="51" spans="1:7" ht="23.05" customHeight="1">
      <c r="A51" s="4">
        <v>200</v>
      </c>
      <c r="B51" s="4" t="s">
        <v>46</v>
      </c>
      <c r="C51" s="4">
        <v>2</v>
      </c>
      <c r="D51" s="4">
        <v>20</v>
      </c>
      <c r="E51" s="5">
        <v>0.1</v>
      </c>
      <c r="F51" s="4">
        <v>332</v>
      </c>
      <c r="G51" s="5">
        <v>0.10118866199329472</v>
      </c>
    </row>
    <row r="52" spans="1:7" ht="23.05" customHeight="1">
      <c r="A52" s="4">
        <v>200</v>
      </c>
      <c r="B52" s="4" t="s">
        <v>46</v>
      </c>
      <c r="C52" s="4">
        <v>3</v>
      </c>
      <c r="D52" s="4">
        <v>20</v>
      </c>
      <c r="E52" s="5">
        <v>0.15</v>
      </c>
      <c r="F52" s="4">
        <v>165</v>
      </c>
      <c r="G52" s="5">
        <v>5.0289545870161538E-2</v>
      </c>
    </row>
    <row r="53" spans="1:7" ht="23.05" customHeight="1">
      <c r="A53" s="4">
        <v>200</v>
      </c>
      <c r="B53" s="4" t="s">
        <v>46</v>
      </c>
      <c r="C53" s="4">
        <v>4</v>
      </c>
      <c r="D53" s="4">
        <v>20</v>
      </c>
      <c r="E53" s="5">
        <v>0.2</v>
      </c>
      <c r="F53" s="4">
        <v>144</v>
      </c>
      <c r="G53" s="5">
        <v>4.3889058213959158E-2</v>
      </c>
    </row>
    <row r="54" spans="1:7" ht="23.05" customHeight="1">
      <c r="A54" s="4">
        <v>200</v>
      </c>
      <c r="B54" s="4" t="s">
        <v>46</v>
      </c>
      <c r="C54" s="4">
        <v>5</v>
      </c>
      <c r="D54" s="4">
        <v>20</v>
      </c>
      <c r="E54" s="5">
        <v>0.25</v>
      </c>
      <c r="F54" s="4">
        <v>37</v>
      </c>
      <c r="G54" s="5">
        <v>1.1277049679975617E-2</v>
      </c>
    </row>
    <row r="55" spans="1:7" ht="23.05" customHeight="1">
      <c r="A55" s="4">
        <v>200</v>
      </c>
      <c r="B55" s="4" t="s">
        <v>46</v>
      </c>
      <c r="C55" s="4">
        <v>6</v>
      </c>
      <c r="D55" s="4">
        <v>20</v>
      </c>
      <c r="E55" s="5">
        <v>0.3</v>
      </c>
      <c r="F55" s="4">
        <v>20</v>
      </c>
      <c r="G55" s="5">
        <v>6.0957025297165499E-3</v>
      </c>
    </row>
    <row r="56" spans="1:7" ht="23.05" customHeight="1">
      <c r="A56" s="4">
        <v>200</v>
      </c>
      <c r="B56" s="4" t="s">
        <v>46</v>
      </c>
      <c r="C56" s="4">
        <v>7</v>
      </c>
      <c r="D56" s="4">
        <v>20</v>
      </c>
      <c r="E56" s="5">
        <v>0.35</v>
      </c>
      <c r="F56" s="4">
        <v>8</v>
      </c>
      <c r="G56" s="5">
        <v>2.4382810118866198E-3</v>
      </c>
    </row>
    <row r="57" spans="1:7" ht="23.05" customHeight="1">
      <c r="A57" s="4">
        <v>200</v>
      </c>
      <c r="B57" s="4" t="s">
        <v>46</v>
      </c>
      <c r="C57" s="4">
        <v>8</v>
      </c>
      <c r="D57" s="4">
        <v>20</v>
      </c>
      <c r="E57" s="5">
        <v>0.4</v>
      </c>
      <c r="F57" s="4">
        <v>6</v>
      </c>
      <c r="G57" s="5">
        <v>1.828710758914965E-3</v>
      </c>
    </row>
    <row r="58" spans="1:7" ht="23.05" customHeight="1">
      <c r="A58" s="4">
        <v>200</v>
      </c>
      <c r="B58" s="4" t="s">
        <v>46</v>
      </c>
      <c r="C58" s="4">
        <v>9</v>
      </c>
      <c r="D58" s="4">
        <v>20</v>
      </c>
      <c r="E58" s="5">
        <v>0.45</v>
      </c>
      <c r="F58" s="4">
        <v>4</v>
      </c>
      <c r="G58" s="5">
        <v>1.2191405059433099E-3</v>
      </c>
    </row>
    <row r="59" spans="1:7" ht="23.05" customHeight="1">
      <c r="A59" s="4">
        <v>200</v>
      </c>
      <c r="B59" s="4" t="s">
        <v>46</v>
      </c>
      <c r="C59" s="4">
        <v>10</v>
      </c>
      <c r="D59" s="4">
        <v>20</v>
      </c>
      <c r="E59" s="5">
        <v>0.5</v>
      </c>
      <c r="F59" s="4">
        <v>5</v>
      </c>
      <c r="G59" s="5">
        <v>1.5239256324291375E-3</v>
      </c>
    </row>
    <row r="60" spans="1:7" ht="23.05" customHeight="1">
      <c r="A60" s="4">
        <v>200</v>
      </c>
      <c r="B60" s="4" t="s">
        <v>46</v>
      </c>
      <c r="C60" s="4">
        <v>11</v>
      </c>
      <c r="D60" s="4">
        <v>20</v>
      </c>
      <c r="E60" s="5">
        <v>0.55000000000000004</v>
      </c>
      <c r="F60" s="4">
        <v>14</v>
      </c>
      <c r="G60" s="5">
        <v>4.2669917708015852E-3</v>
      </c>
    </row>
    <row r="61" spans="1:7" ht="23.05" customHeight="1">
      <c r="A61" s="4">
        <v>200</v>
      </c>
      <c r="B61" s="4" t="s">
        <v>46</v>
      </c>
      <c r="C61" s="4">
        <v>12</v>
      </c>
      <c r="D61" s="4">
        <v>20</v>
      </c>
      <c r="E61" s="5">
        <v>0.6</v>
      </c>
      <c r="F61" s="4">
        <v>1</v>
      </c>
      <c r="G61" s="5">
        <v>3.0478512648582747E-4</v>
      </c>
    </row>
    <row r="62" spans="1:7" ht="23.05" customHeight="1">
      <c r="A62" s="4">
        <v>200</v>
      </c>
      <c r="B62" s="4" t="s">
        <v>46</v>
      </c>
      <c r="C62" s="4">
        <v>13</v>
      </c>
      <c r="D62" s="4">
        <v>20</v>
      </c>
      <c r="E62" s="5">
        <v>0.65</v>
      </c>
      <c r="F62" s="4">
        <v>15</v>
      </c>
      <c r="G62" s="5">
        <v>4.5717768972874124E-3</v>
      </c>
    </row>
    <row r="63" spans="1:7" ht="23.05" customHeight="1">
      <c r="A63" s="4">
        <v>200</v>
      </c>
      <c r="B63" s="4" t="s">
        <v>46</v>
      </c>
      <c r="C63" s="4">
        <v>14</v>
      </c>
      <c r="D63" s="4">
        <v>20</v>
      </c>
      <c r="E63" s="5">
        <v>0.7</v>
      </c>
      <c r="F63" s="4">
        <v>10</v>
      </c>
      <c r="G63" s="5">
        <v>3.0478512648582749E-3</v>
      </c>
    </row>
    <row r="64" spans="1:7" ht="23.05" customHeight="1">
      <c r="A64" s="4">
        <v>200</v>
      </c>
      <c r="B64" s="4" t="s">
        <v>46</v>
      </c>
      <c r="C64" s="4">
        <v>15</v>
      </c>
      <c r="D64" s="4">
        <v>20</v>
      </c>
      <c r="E64" s="5">
        <v>0.75</v>
      </c>
      <c r="F64" s="4">
        <v>5</v>
      </c>
      <c r="G64" s="5">
        <v>1.5239256324291375E-3</v>
      </c>
    </row>
    <row r="65" spans="1:7" ht="23.05" customHeight="1">
      <c r="A65" s="4">
        <v>200</v>
      </c>
      <c r="B65" s="4" t="s">
        <v>46</v>
      </c>
      <c r="C65" s="4">
        <v>16</v>
      </c>
      <c r="D65" s="4">
        <v>20</v>
      </c>
      <c r="E65" s="5">
        <v>0.8</v>
      </c>
      <c r="F65" s="4">
        <v>7</v>
      </c>
      <c r="G65" s="5">
        <v>2.1334958854007926E-3</v>
      </c>
    </row>
    <row r="66" spans="1:7" ht="23.05" customHeight="1">
      <c r="A66" s="4">
        <v>200</v>
      </c>
      <c r="B66" s="4" t="s">
        <v>46</v>
      </c>
      <c r="C66" s="4">
        <v>17</v>
      </c>
      <c r="D66" s="4">
        <v>20</v>
      </c>
      <c r="E66" s="5">
        <v>0.85</v>
      </c>
      <c r="F66" s="4">
        <v>33</v>
      </c>
      <c r="G66" s="5">
        <v>1.0057909174032308E-2</v>
      </c>
    </row>
    <row r="67" spans="1:7" ht="23.05" customHeight="1">
      <c r="A67" s="4">
        <v>200</v>
      </c>
      <c r="B67" s="4" t="s">
        <v>46</v>
      </c>
      <c r="C67" s="4">
        <v>18</v>
      </c>
      <c r="D67" s="4">
        <v>20</v>
      </c>
      <c r="E67" s="5">
        <v>0.9</v>
      </c>
      <c r="F67" s="4">
        <v>29</v>
      </c>
      <c r="G67" s="5">
        <v>8.8387686680889976E-3</v>
      </c>
    </row>
    <row r="68" spans="1:7" ht="23.05" customHeight="1">
      <c r="A68" s="4">
        <v>200</v>
      </c>
      <c r="B68" s="4" t="s">
        <v>46</v>
      </c>
      <c r="C68" s="4">
        <v>19</v>
      </c>
      <c r="D68" s="4">
        <v>20</v>
      </c>
      <c r="E68" s="5">
        <v>0.95</v>
      </c>
      <c r="F68" s="4">
        <v>20</v>
      </c>
      <c r="G68" s="5">
        <v>6.0957025297165499E-3</v>
      </c>
    </row>
    <row r="69" spans="1:7" ht="23.05" customHeight="1">
      <c r="A69" s="4">
        <v>200</v>
      </c>
      <c r="B69" s="4" t="s">
        <v>46</v>
      </c>
      <c r="C69" s="4">
        <v>20</v>
      </c>
      <c r="D69" s="4">
        <v>20</v>
      </c>
      <c r="E69" s="5">
        <v>1</v>
      </c>
      <c r="F69" s="4">
        <v>900</v>
      </c>
      <c r="G69" s="5">
        <v>0.27430661383724475</v>
      </c>
    </row>
    <row r="70" spans="1:7" ht="23.05" customHeight="1">
      <c r="A70" s="4">
        <v>200</v>
      </c>
      <c r="B70" s="4" t="s">
        <v>45</v>
      </c>
      <c r="C70" s="4">
        <v>1</v>
      </c>
      <c r="D70" s="4">
        <v>20</v>
      </c>
      <c r="E70" s="5">
        <v>0.05</v>
      </c>
      <c r="F70" s="4">
        <v>572784</v>
      </c>
      <c r="G70" s="5">
        <v>0.51724436866972012</v>
      </c>
    </row>
    <row r="71" spans="1:7" ht="23.05" customHeight="1">
      <c r="A71" s="4">
        <v>200</v>
      </c>
      <c r="B71" s="4" t="s">
        <v>45</v>
      </c>
      <c r="C71" s="4">
        <v>2</v>
      </c>
      <c r="D71" s="4">
        <v>20</v>
      </c>
      <c r="E71" s="5">
        <v>0.1</v>
      </c>
      <c r="F71" s="4">
        <v>192179</v>
      </c>
      <c r="G71" s="5">
        <v>0.1735444871479967</v>
      </c>
    </row>
    <row r="72" spans="1:7" ht="23.05" customHeight="1">
      <c r="A72" s="4">
        <v>200</v>
      </c>
      <c r="B72" s="4" t="s">
        <v>45</v>
      </c>
      <c r="C72" s="4">
        <v>3</v>
      </c>
      <c r="D72" s="4">
        <v>20</v>
      </c>
      <c r="E72" s="5">
        <v>0.15</v>
      </c>
      <c r="F72" s="4">
        <v>72311</v>
      </c>
      <c r="G72" s="5">
        <v>6.5299410498331184E-2</v>
      </c>
    </row>
    <row r="73" spans="1:7" ht="23.05" customHeight="1">
      <c r="A73" s="4">
        <v>200</v>
      </c>
      <c r="B73" s="4" t="s">
        <v>45</v>
      </c>
      <c r="C73" s="4">
        <v>4</v>
      </c>
      <c r="D73" s="4">
        <v>20</v>
      </c>
      <c r="E73" s="5">
        <v>0.2</v>
      </c>
      <c r="F73" s="4">
        <v>44178</v>
      </c>
      <c r="G73" s="5">
        <v>3.9894308708153331E-2</v>
      </c>
    </row>
    <row r="74" spans="1:7" ht="23.05" customHeight="1">
      <c r="A74" s="4">
        <v>200</v>
      </c>
      <c r="B74" s="4" t="s">
        <v>45</v>
      </c>
      <c r="C74" s="4">
        <v>5</v>
      </c>
      <c r="D74" s="4">
        <v>20</v>
      </c>
      <c r="E74" s="5">
        <v>0.25</v>
      </c>
      <c r="F74" s="4">
        <v>36786</v>
      </c>
      <c r="G74" s="5">
        <v>3.3219069223100375E-2</v>
      </c>
    </row>
    <row r="75" spans="1:7" ht="23.05" customHeight="1">
      <c r="A75" s="4">
        <v>200</v>
      </c>
      <c r="B75" s="4" t="s">
        <v>45</v>
      </c>
      <c r="C75" s="4">
        <v>6</v>
      </c>
      <c r="D75" s="4">
        <v>20</v>
      </c>
      <c r="E75" s="5">
        <v>0.3</v>
      </c>
      <c r="F75" s="4">
        <v>31474</v>
      </c>
      <c r="G75" s="5">
        <v>2.8422143878863187E-2</v>
      </c>
    </row>
    <row r="76" spans="1:7" ht="23.05" customHeight="1">
      <c r="A76" s="4">
        <v>200</v>
      </c>
      <c r="B76" s="4" t="s">
        <v>45</v>
      </c>
      <c r="C76" s="4">
        <v>7</v>
      </c>
      <c r="D76" s="4">
        <v>20</v>
      </c>
      <c r="E76" s="5">
        <v>0.35</v>
      </c>
      <c r="F76" s="4">
        <v>26518</v>
      </c>
      <c r="G76" s="5">
        <v>2.3946699224111773E-2</v>
      </c>
    </row>
    <row r="77" spans="1:7" ht="23.05" customHeight="1">
      <c r="A77" s="4">
        <v>200</v>
      </c>
      <c r="B77" s="4" t="s">
        <v>45</v>
      </c>
      <c r="C77" s="4">
        <v>8</v>
      </c>
      <c r="D77" s="4">
        <v>20</v>
      </c>
      <c r="E77" s="5">
        <v>0.4</v>
      </c>
      <c r="F77" s="4">
        <v>21783</v>
      </c>
      <c r="G77" s="5">
        <v>1.9670825446822037E-2</v>
      </c>
    </row>
    <row r="78" spans="1:7" ht="23.05" customHeight="1">
      <c r="A78" s="4">
        <v>200</v>
      </c>
      <c r="B78" s="4" t="s">
        <v>45</v>
      </c>
      <c r="C78" s="4">
        <v>9</v>
      </c>
      <c r="D78" s="4">
        <v>20</v>
      </c>
      <c r="E78" s="5">
        <v>0.45</v>
      </c>
      <c r="F78" s="4">
        <v>17199</v>
      </c>
      <c r="G78" s="5">
        <v>1.5531310051870367E-2</v>
      </c>
    </row>
    <row r="79" spans="1:7" ht="23.05" customHeight="1">
      <c r="A79" s="4">
        <v>200</v>
      </c>
      <c r="B79" s="4" t="s">
        <v>45</v>
      </c>
      <c r="C79" s="4">
        <v>10</v>
      </c>
      <c r="D79" s="4">
        <v>20</v>
      </c>
      <c r="E79" s="5">
        <v>0.5</v>
      </c>
      <c r="F79" s="4">
        <v>13310</v>
      </c>
      <c r="G79" s="5">
        <v>1.2019404429931659E-2</v>
      </c>
    </row>
    <row r="80" spans="1:7" ht="23.05" customHeight="1">
      <c r="A80" s="4">
        <v>200</v>
      </c>
      <c r="B80" s="4" t="s">
        <v>45</v>
      </c>
      <c r="C80" s="4">
        <v>11</v>
      </c>
      <c r="D80" s="4">
        <v>20</v>
      </c>
      <c r="E80" s="5">
        <v>0.55000000000000004</v>
      </c>
      <c r="F80" s="4">
        <v>10821</v>
      </c>
      <c r="G80" s="5">
        <v>9.7717487104651002E-3</v>
      </c>
    </row>
    <row r="81" spans="1:7" ht="23.05" customHeight="1">
      <c r="A81" s="4">
        <v>200</v>
      </c>
      <c r="B81" s="4" t="s">
        <v>45</v>
      </c>
      <c r="C81" s="4">
        <v>12</v>
      </c>
      <c r="D81" s="4">
        <v>20</v>
      </c>
      <c r="E81" s="5">
        <v>0.6</v>
      </c>
      <c r="F81" s="4">
        <v>9541</v>
      </c>
      <c r="G81" s="5">
        <v>8.6158630853477042E-3</v>
      </c>
    </row>
    <row r="82" spans="1:7" ht="23.05" customHeight="1">
      <c r="A82" s="4">
        <v>200</v>
      </c>
      <c r="B82" s="4" t="s">
        <v>45</v>
      </c>
      <c r="C82" s="4">
        <v>13</v>
      </c>
      <c r="D82" s="4">
        <v>20</v>
      </c>
      <c r="E82" s="5">
        <v>0.65</v>
      </c>
      <c r="F82" s="4">
        <v>8447</v>
      </c>
      <c r="G82" s="5">
        <v>7.6279420901301815E-3</v>
      </c>
    </row>
    <row r="83" spans="1:7" ht="23.05" customHeight="1">
      <c r="A83" s="4">
        <v>200</v>
      </c>
      <c r="B83" s="4" t="s">
        <v>45</v>
      </c>
      <c r="C83" s="4">
        <v>14</v>
      </c>
      <c r="D83" s="4">
        <v>20</v>
      </c>
      <c r="E83" s="5">
        <v>0.7</v>
      </c>
      <c r="F83" s="4">
        <v>7369</v>
      </c>
      <c r="G83" s="5">
        <v>6.6544696652266261E-3</v>
      </c>
    </row>
    <row r="84" spans="1:7" ht="23.05" customHeight="1">
      <c r="A84" s="4">
        <v>200</v>
      </c>
      <c r="B84" s="4" t="s">
        <v>45</v>
      </c>
      <c r="C84" s="4">
        <v>15</v>
      </c>
      <c r="D84" s="4">
        <v>20</v>
      </c>
      <c r="E84" s="5">
        <v>0.75</v>
      </c>
      <c r="F84" s="4">
        <v>6293</v>
      </c>
      <c r="G84" s="5">
        <v>5.682803311612316E-3</v>
      </c>
    </row>
    <row r="85" spans="1:7" ht="23.05" customHeight="1">
      <c r="A85" s="4">
        <v>200</v>
      </c>
      <c r="B85" s="4" t="s">
        <v>45</v>
      </c>
      <c r="C85" s="4">
        <v>16</v>
      </c>
      <c r="D85" s="4">
        <v>20</v>
      </c>
      <c r="E85" s="5">
        <v>0.8</v>
      </c>
      <c r="F85" s="4">
        <v>4882</v>
      </c>
      <c r="G85" s="5">
        <v>4.4086200170493127E-3</v>
      </c>
    </row>
    <row r="86" spans="1:7" ht="23.05" customHeight="1">
      <c r="A86" s="4">
        <v>200</v>
      </c>
      <c r="B86" s="4" t="s">
        <v>45</v>
      </c>
      <c r="C86" s="4">
        <v>17</v>
      </c>
      <c r="D86" s="4">
        <v>20</v>
      </c>
      <c r="E86" s="5">
        <v>0.85</v>
      </c>
      <c r="F86" s="4">
        <v>3889</v>
      </c>
      <c r="G86" s="5">
        <v>3.5119056219387094E-3</v>
      </c>
    </row>
    <row r="87" spans="1:7" ht="23.05" customHeight="1">
      <c r="A87" s="4">
        <v>200</v>
      </c>
      <c r="B87" s="4" t="s">
        <v>45</v>
      </c>
      <c r="C87" s="4">
        <v>18</v>
      </c>
      <c r="D87" s="4">
        <v>20</v>
      </c>
      <c r="E87" s="5">
        <v>0.9</v>
      </c>
      <c r="F87" s="4">
        <v>3023</v>
      </c>
      <c r="G87" s="5">
        <v>2.7298767536952217E-3</v>
      </c>
    </row>
    <row r="88" spans="1:7" ht="23.05" customHeight="1">
      <c r="A88" s="4">
        <v>200</v>
      </c>
      <c r="B88" s="4" t="s">
        <v>45</v>
      </c>
      <c r="C88" s="4">
        <v>19</v>
      </c>
      <c r="D88" s="4">
        <v>20</v>
      </c>
      <c r="E88" s="5">
        <v>0.95</v>
      </c>
      <c r="F88" s="4">
        <v>2517</v>
      </c>
      <c r="G88" s="5">
        <v>2.2729407175160017E-3</v>
      </c>
    </row>
    <row r="89" spans="1:7" ht="23.05" customHeight="1">
      <c r="A89" s="4">
        <v>200</v>
      </c>
      <c r="B89" s="4" t="s">
        <v>45</v>
      </c>
      <c r="C89" s="4">
        <v>20</v>
      </c>
      <c r="D89" s="4">
        <v>20</v>
      </c>
      <c r="E89" s="5">
        <v>1</v>
      </c>
      <c r="F89" s="4">
        <v>22072</v>
      </c>
      <c r="G89" s="5">
        <v>1.9931802748118073E-2</v>
      </c>
    </row>
    <row r="90" spans="1:7" ht="23.05" customHeight="1">
      <c r="A90" s="4">
        <v>200</v>
      </c>
      <c r="B90" s="4" t="s">
        <v>47</v>
      </c>
      <c r="C90" s="4">
        <v>1</v>
      </c>
      <c r="D90" s="4">
        <v>20</v>
      </c>
      <c r="E90" s="5">
        <v>0.05</v>
      </c>
      <c r="F90" s="4">
        <v>195</v>
      </c>
      <c r="G90" s="5">
        <v>4.8471290082028336E-2</v>
      </c>
    </row>
    <row r="91" spans="1:7" ht="23.05" customHeight="1">
      <c r="A91" s="4">
        <v>200</v>
      </c>
      <c r="B91" s="4" t="s">
        <v>47</v>
      </c>
      <c r="C91" s="4">
        <v>2</v>
      </c>
      <c r="D91" s="4">
        <v>20</v>
      </c>
      <c r="E91" s="5">
        <v>0.1</v>
      </c>
      <c r="F91" s="4">
        <v>480</v>
      </c>
      <c r="G91" s="5">
        <v>0.11931394481730052</v>
      </c>
    </row>
    <row r="92" spans="1:7" ht="23.05" customHeight="1">
      <c r="A92" s="4">
        <v>200</v>
      </c>
      <c r="B92" s="4" t="s">
        <v>47</v>
      </c>
      <c r="C92" s="4">
        <v>3</v>
      </c>
      <c r="D92" s="4">
        <v>20</v>
      </c>
      <c r="E92" s="5">
        <v>0.15</v>
      </c>
      <c r="F92" s="4">
        <v>380</v>
      </c>
      <c r="G92" s="5">
        <v>9.4456872980362913E-2</v>
      </c>
    </row>
    <row r="93" spans="1:7" ht="23.05" customHeight="1">
      <c r="A93" s="4">
        <v>200</v>
      </c>
      <c r="B93" s="4" t="s">
        <v>47</v>
      </c>
      <c r="C93" s="4">
        <v>4</v>
      </c>
      <c r="D93" s="4">
        <v>20</v>
      </c>
      <c r="E93" s="5">
        <v>0.2</v>
      </c>
      <c r="F93" s="4">
        <v>330</v>
      </c>
      <c r="G93" s="5">
        <v>8.2028337061894108E-2</v>
      </c>
    </row>
    <row r="94" spans="1:7" ht="23.05" customHeight="1">
      <c r="A94" s="4">
        <v>200</v>
      </c>
      <c r="B94" s="4" t="s">
        <v>47</v>
      </c>
      <c r="C94" s="4">
        <v>5</v>
      </c>
      <c r="D94" s="4">
        <v>20</v>
      </c>
      <c r="E94" s="5">
        <v>0.25</v>
      </c>
      <c r="F94" s="4">
        <v>303</v>
      </c>
      <c r="G94" s="5">
        <v>7.5316927665920949E-2</v>
      </c>
    </row>
    <row r="95" spans="1:7" ht="23.05" customHeight="1">
      <c r="A95" s="4">
        <v>200</v>
      </c>
      <c r="B95" s="4" t="s">
        <v>47</v>
      </c>
      <c r="C95" s="4">
        <v>6</v>
      </c>
      <c r="D95" s="4">
        <v>20</v>
      </c>
      <c r="E95" s="5">
        <v>0.3</v>
      </c>
      <c r="F95" s="4">
        <v>249</v>
      </c>
      <c r="G95" s="5">
        <v>6.1894108873974646E-2</v>
      </c>
    </row>
    <row r="96" spans="1:7" ht="23.05" customHeight="1">
      <c r="A96" s="4">
        <v>200</v>
      </c>
      <c r="B96" s="4" t="s">
        <v>47</v>
      </c>
      <c r="C96" s="4">
        <v>7</v>
      </c>
      <c r="D96" s="4">
        <v>20</v>
      </c>
      <c r="E96" s="5">
        <v>0.35</v>
      </c>
      <c r="F96" s="4">
        <v>215</v>
      </c>
      <c r="G96" s="5">
        <v>5.3442704449415859E-2</v>
      </c>
    </row>
    <row r="97" spans="1:7" ht="23.05" customHeight="1">
      <c r="A97" s="4">
        <v>200</v>
      </c>
      <c r="B97" s="4" t="s">
        <v>47</v>
      </c>
      <c r="C97" s="4">
        <v>8</v>
      </c>
      <c r="D97" s="4">
        <v>20</v>
      </c>
      <c r="E97" s="5">
        <v>0.4</v>
      </c>
      <c r="F97" s="4">
        <v>220</v>
      </c>
      <c r="G97" s="5">
        <v>5.4685558041262738E-2</v>
      </c>
    </row>
    <row r="98" spans="1:7" ht="23.05" customHeight="1">
      <c r="A98" s="4">
        <v>200</v>
      </c>
      <c r="B98" s="4" t="s">
        <v>47</v>
      </c>
      <c r="C98" s="4">
        <v>9</v>
      </c>
      <c r="D98" s="4">
        <v>20</v>
      </c>
      <c r="E98" s="5">
        <v>0.45</v>
      </c>
      <c r="F98" s="4">
        <v>177</v>
      </c>
      <c r="G98" s="5">
        <v>4.3997017151379568E-2</v>
      </c>
    </row>
    <row r="99" spans="1:7" ht="23.05" customHeight="1">
      <c r="A99" s="4">
        <v>200</v>
      </c>
      <c r="B99" s="4" t="s">
        <v>47</v>
      </c>
      <c r="C99" s="4">
        <v>10</v>
      </c>
      <c r="D99" s="4">
        <v>20</v>
      </c>
      <c r="E99" s="5">
        <v>0.5</v>
      </c>
      <c r="F99" s="4">
        <v>136</v>
      </c>
      <c r="G99" s="5">
        <v>3.3805617698235146E-2</v>
      </c>
    </row>
    <row r="100" spans="1:7" ht="23.05" customHeight="1">
      <c r="A100" s="4">
        <v>200</v>
      </c>
      <c r="B100" s="4" t="s">
        <v>47</v>
      </c>
      <c r="C100" s="4">
        <v>11</v>
      </c>
      <c r="D100" s="4">
        <v>20</v>
      </c>
      <c r="E100" s="5">
        <v>0.55000000000000004</v>
      </c>
      <c r="F100" s="4">
        <v>152</v>
      </c>
      <c r="G100" s="5">
        <v>3.7782749192145165E-2</v>
      </c>
    </row>
    <row r="101" spans="1:7" ht="23.05" customHeight="1">
      <c r="A101" s="4">
        <v>200</v>
      </c>
      <c r="B101" s="4" t="s">
        <v>47</v>
      </c>
      <c r="C101" s="4">
        <v>12</v>
      </c>
      <c r="D101" s="4">
        <v>20</v>
      </c>
      <c r="E101" s="5">
        <v>0.6</v>
      </c>
      <c r="F101" s="4">
        <v>144</v>
      </c>
      <c r="G101" s="5">
        <v>3.5794183445190156E-2</v>
      </c>
    </row>
    <row r="102" spans="1:7" ht="23.05" customHeight="1">
      <c r="A102" s="4">
        <v>200</v>
      </c>
      <c r="B102" s="4" t="s">
        <v>47</v>
      </c>
      <c r="C102" s="4">
        <v>13</v>
      </c>
      <c r="D102" s="4">
        <v>20</v>
      </c>
      <c r="E102" s="5">
        <v>0.65</v>
      </c>
      <c r="F102" s="4">
        <v>134</v>
      </c>
      <c r="G102" s="5">
        <v>3.3308476261496398E-2</v>
      </c>
    </row>
    <row r="103" spans="1:7" ht="23.05" customHeight="1">
      <c r="A103" s="4">
        <v>200</v>
      </c>
      <c r="B103" s="4" t="s">
        <v>47</v>
      </c>
      <c r="C103" s="4">
        <v>14</v>
      </c>
      <c r="D103" s="4">
        <v>20</v>
      </c>
      <c r="E103" s="5">
        <v>0.7</v>
      </c>
      <c r="F103" s="4">
        <v>139</v>
      </c>
      <c r="G103" s="5">
        <v>3.4551329853343277E-2</v>
      </c>
    </row>
    <row r="104" spans="1:7" ht="23.05" customHeight="1">
      <c r="A104" s="4">
        <v>200</v>
      </c>
      <c r="B104" s="4" t="s">
        <v>47</v>
      </c>
      <c r="C104" s="4">
        <v>15</v>
      </c>
      <c r="D104" s="4">
        <v>20</v>
      </c>
      <c r="E104" s="5">
        <v>0.75</v>
      </c>
      <c r="F104" s="4">
        <v>124</v>
      </c>
      <c r="G104" s="5">
        <v>3.0822769077802636E-2</v>
      </c>
    </row>
    <row r="105" spans="1:7" ht="23.05" customHeight="1">
      <c r="A105" s="4">
        <v>200</v>
      </c>
      <c r="B105" s="4" t="s">
        <v>47</v>
      </c>
      <c r="C105" s="4">
        <v>16</v>
      </c>
      <c r="D105" s="4">
        <v>20</v>
      </c>
      <c r="E105" s="5">
        <v>0.8</v>
      </c>
      <c r="F105" s="4">
        <v>84</v>
      </c>
      <c r="G105" s="5">
        <v>2.0879940343027592E-2</v>
      </c>
    </row>
    <row r="106" spans="1:7" ht="23.05" customHeight="1">
      <c r="A106" s="4">
        <v>200</v>
      </c>
      <c r="B106" s="4" t="s">
        <v>47</v>
      </c>
      <c r="C106" s="4">
        <v>17</v>
      </c>
      <c r="D106" s="4">
        <v>20</v>
      </c>
      <c r="E106" s="5">
        <v>0.85</v>
      </c>
      <c r="F106" s="4">
        <v>86</v>
      </c>
      <c r="G106" s="5">
        <v>2.1377081779766344E-2</v>
      </c>
    </row>
    <row r="107" spans="1:7" ht="23.05" customHeight="1">
      <c r="A107" s="4">
        <v>200</v>
      </c>
      <c r="B107" s="4" t="s">
        <v>47</v>
      </c>
      <c r="C107" s="4">
        <v>18</v>
      </c>
      <c r="D107" s="4">
        <v>20</v>
      </c>
      <c r="E107" s="5">
        <v>0.9</v>
      </c>
      <c r="F107" s="4">
        <v>71</v>
      </c>
      <c r="G107" s="5">
        <v>1.7648521004225703E-2</v>
      </c>
    </row>
    <row r="108" spans="1:7" ht="23.05" customHeight="1">
      <c r="A108" s="4">
        <v>200</v>
      </c>
      <c r="B108" s="4" t="s">
        <v>47</v>
      </c>
      <c r="C108" s="4">
        <v>19</v>
      </c>
      <c r="D108" s="4">
        <v>20</v>
      </c>
      <c r="E108" s="5">
        <v>0.95</v>
      </c>
      <c r="F108" s="4">
        <v>64</v>
      </c>
      <c r="G108" s="5">
        <v>1.5908525975640068E-2</v>
      </c>
    </row>
    <row r="109" spans="1:7" ht="23.05" customHeight="1">
      <c r="A109" s="4">
        <v>200</v>
      </c>
      <c r="B109" s="4" t="s">
        <v>47</v>
      </c>
      <c r="C109" s="4">
        <v>20</v>
      </c>
      <c r="D109" s="4">
        <v>20</v>
      </c>
      <c r="E109" s="5">
        <v>1</v>
      </c>
      <c r="F109" s="4">
        <v>340</v>
      </c>
      <c r="G109" s="5">
        <v>8.4514044245587866E-2</v>
      </c>
    </row>
    <row r="110" spans="1:7" ht="23.05" customHeight="1">
      <c r="A110" s="4">
        <v>500</v>
      </c>
      <c r="B110" s="4" t="s">
        <v>46</v>
      </c>
      <c r="C110" s="4">
        <v>1</v>
      </c>
      <c r="D110" s="4">
        <v>50</v>
      </c>
      <c r="E110" s="5">
        <v>0.02</v>
      </c>
      <c r="F110" s="4">
        <v>790</v>
      </c>
      <c r="G110" s="5">
        <v>0.49467752035065748</v>
      </c>
    </row>
    <row r="111" spans="1:7" ht="23.05" customHeight="1">
      <c r="A111" s="4">
        <v>500</v>
      </c>
      <c r="B111" s="4" t="s">
        <v>46</v>
      </c>
      <c r="C111" s="4">
        <v>2</v>
      </c>
      <c r="D111" s="4">
        <v>50</v>
      </c>
      <c r="E111" s="5">
        <v>0.04</v>
      </c>
      <c r="F111" s="4">
        <v>66</v>
      </c>
      <c r="G111" s="5">
        <v>4.1327489041953665E-2</v>
      </c>
    </row>
    <row r="112" spans="1:7" ht="23.05" customHeight="1">
      <c r="A112" s="4">
        <v>500</v>
      </c>
      <c r="B112" s="4" t="s">
        <v>46</v>
      </c>
      <c r="C112" s="4">
        <v>3</v>
      </c>
      <c r="D112" s="4">
        <v>50</v>
      </c>
      <c r="E112" s="5">
        <v>0.06</v>
      </c>
      <c r="F112" s="4">
        <v>224</v>
      </c>
      <c r="G112" s="5">
        <v>0.14026299311208515</v>
      </c>
    </row>
    <row r="113" spans="1:7" ht="23.05" customHeight="1">
      <c r="A113" s="4">
        <v>500</v>
      </c>
      <c r="B113" s="4" t="s">
        <v>46</v>
      </c>
      <c r="C113" s="4">
        <v>4</v>
      </c>
      <c r="D113" s="4">
        <v>50</v>
      </c>
      <c r="E113" s="5">
        <v>0.08</v>
      </c>
      <c r="F113" s="4">
        <v>27</v>
      </c>
      <c r="G113" s="5">
        <v>1.6906700062617408E-2</v>
      </c>
    </row>
    <row r="114" spans="1:7" ht="23.05" customHeight="1">
      <c r="A114" s="4">
        <v>500</v>
      </c>
      <c r="B114" s="4" t="s">
        <v>46</v>
      </c>
      <c r="C114" s="4">
        <v>5</v>
      </c>
      <c r="D114" s="4">
        <v>50</v>
      </c>
      <c r="E114" s="5">
        <v>0.1</v>
      </c>
      <c r="F114" s="4">
        <v>14</v>
      </c>
      <c r="G114" s="5">
        <v>8.7664370695053218E-3</v>
      </c>
    </row>
    <row r="115" spans="1:7" ht="23.05" customHeight="1">
      <c r="A115" s="4">
        <v>500</v>
      </c>
      <c r="B115" s="4" t="s">
        <v>46</v>
      </c>
      <c r="C115" s="4">
        <v>6</v>
      </c>
      <c r="D115" s="4">
        <v>50</v>
      </c>
      <c r="E115" s="5">
        <v>0.12</v>
      </c>
      <c r="F115" s="4">
        <v>4</v>
      </c>
      <c r="G115" s="5">
        <v>2.5046963055729492E-3</v>
      </c>
    </row>
    <row r="116" spans="1:7" ht="23.05" customHeight="1">
      <c r="A116" s="4">
        <v>500</v>
      </c>
      <c r="B116" s="4" t="s">
        <v>46</v>
      </c>
      <c r="C116" s="4">
        <v>7</v>
      </c>
      <c r="D116" s="4">
        <v>50</v>
      </c>
      <c r="E116" s="5">
        <v>0.14000000000000001</v>
      </c>
      <c r="F116" s="4">
        <v>25</v>
      </c>
      <c r="G116" s="5">
        <v>1.5654351909830933E-2</v>
      </c>
    </row>
    <row r="117" spans="1:7" ht="23.05" customHeight="1">
      <c r="A117" s="4">
        <v>500</v>
      </c>
      <c r="B117" s="4" t="s">
        <v>46</v>
      </c>
      <c r="C117" s="4">
        <v>8</v>
      </c>
      <c r="D117" s="4">
        <v>50</v>
      </c>
      <c r="E117" s="5">
        <v>0.16</v>
      </c>
      <c r="F117" s="4">
        <v>56</v>
      </c>
      <c r="G117" s="5">
        <v>3.5065748278021287E-2</v>
      </c>
    </row>
    <row r="118" spans="1:7" ht="23.05" customHeight="1">
      <c r="A118" s="4">
        <v>500</v>
      </c>
      <c r="B118" s="4" t="s">
        <v>46</v>
      </c>
      <c r="C118" s="4">
        <v>9</v>
      </c>
      <c r="D118" s="4">
        <v>50</v>
      </c>
      <c r="E118" s="5">
        <v>0.18</v>
      </c>
      <c r="F118" s="4">
        <v>9</v>
      </c>
      <c r="G118" s="5">
        <v>5.6355666875391357E-3</v>
      </c>
    </row>
    <row r="119" spans="1:7" ht="23.05" customHeight="1">
      <c r="A119" s="4">
        <v>500</v>
      </c>
      <c r="B119" s="4" t="s">
        <v>46</v>
      </c>
      <c r="C119" s="4">
        <v>10</v>
      </c>
      <c r="D119" s="4">
        <v>50</v>
      </c>
      <c r="E119" s="5">
        <v>0.2</v>
      </c>
      <c r="F119" s="4">
        <v>4</v>
      </c>
      <c r="G119" s="5">
        <v>2.5046963055729492E-3</v>
      </c>
    </row>
    <row r="120" spans="1:7" ht="23.05" customHeight="1">
      <c r="A120" s="4">
        <v>500</v>
      </c>
      <c r="B120" s="4" t="s">
        <v>46</v>
      </c>
      <c r="C120" s="4">
        <v>12</v>
      </c>
      <c r="D120" s="4">
        <v>50</v>
      </c>
      <c r="E120" s="5">
        <v>0.24</v>
      </c>
      <c r="F120" s="4">
        <v>1</v>
      </c>
      <c r="G120" s="5">
        <v>6.2617407639323729E-4</v>
      </c>
    </row>
    <row r="121" spans="1:7" ht="23.05" customHeight="1">
      <c r="A121" s="4">
        <v>500</v>
      </c>
      <c r="B121" s="4" t="s">
        <v>46</v>
      </c>
      <c r="C121" s="4">
        <v>13</v>
      </c>
      <c r="D121" s="4">
        <v>50</v>
      </c>
      <c r="E121" s="5">
        <v>0.26</v>
      </c>
      <c r="F121" s="4">
        <v>2</v>
      </c>
      <c r="G121" s="5">
        <v>1.2523481527864746E-3</v>
      </c>
    </row>
    <row r="122" spans="1:7" ht="23.05" customHeight="1">
      <c r="A122" s="4">
        <v>500</v>
      </c>
      <c r="B122" s="4" t="s">
        <v>46</v>
      </c>
      <c r="C122" s="4">
        <v>14</v>
      </c>
      <c r="D122" s="4">
        <v>50</v>
      </c>
      <c r="E122" s="5">
        <v>0.28000000000000003</v>
      </c>
      <c r="F122" s="4">
        <v>1</v>
      </c>
      <c r="G122" s="5">
        <v>6.2617407639323729E-4</v>
      </c>
    </row>
    <row r="123" spans="1:7" ht="23.05" customHeight="1">
      <c r="A123" s="4">
        <v>500</v>
      </c>
      <c r="B123" s="4" t="s">
        <v>46</v>
      </c>
      <c r="C123" s="4">
        <v>16</v>
      </c>
      <c r="D123" s="4">
        <v>50</v>
      </c>
      <c r="E123" s="5">
        <v>0.32</v>
      </c>
      <c r="F123" s="4">
        <v>5</v>
      </c>
      <c r="G123" s="5">
        <v>3.1308703819661866E-3</v>
      </c>
    </row>
    <row r="124" spans="1:7" ht="23.05" customHeight="1">
      <c r="A124" s="4">
        <v>500</v>
      </c>
      <c r="B124" s="4" t="s">
        <v>46</v>
      </c>
      <c r="C124" s="4">
        <v>19</v>
      </c>
      <c r="D124" s="4">
        <v>50</v>
      </c>
      <c r="E124" s="5">
        <v>0.38</v>
      </c>
      <c r="F124" s="4">
        <v>2</v>
      </c>
      <c r="G124" s="5">
        <v>1.2523481527864746E-3</v>
      </c>
    </row>
    <row r="125" spans="1:7" ht="23.05" customHeight="1">
      <c r="A125" s="4">
        <v>500</v>
      </c>
      <c r="B125" s="4" t="s">
        <v>46</v>
      </c>
      <c r="C125" s="4">
        <v>20</v>
      </c>
      <c r="D125" s="4">
        <v>50</v>
      </c>
      <c r="E125" s="5">
        <v>0.4</v>
      </c>
      <c r="F125" s="4">
        <v>1</v>
      </c>
      <c r="G125" s="5">
        <v>6.2617407639323729E-4</v>
      </c>
    </row>
    <row r="126" spans="1:7" ht="23.05" customHeight="1">
      <c r="A126" s="4">
        <v>500</v>
      </c>
      <c r="B126" s="4" t="s">
        <v>46</v>
      </c>
      <c r="C126" s="4">
        <v>21</v>
      </c>
      <c r="D126" s="4">
        <v>50</v>
      </c>
      <c r="E126" s="5">
        <v>0.42</v>
      </c>
      <c r="F126" s="4">
        <v>2</v>
      </c>
      <c r="G126" s="5">
        <v>1.2523481527864746E-3</v>
      </c>
    </row>
    <row r="127" spans="1:7" ht="23.05" customHeight="1">
      <c r="A127" s="4">
        <v>500</v>
      </c>
      <c r="B127" s="4" t="s">
        <v>46</v>
      </c>
      <c r="C127" s="4">
        <v>23</v>
      </c>
      <c r="D127" s="4">
        <v>50</v>
      </c>
      <c r="E127" s="5">
        <v>0.46</v>
      </c>
      <c r="F127" s="4">
        <v>6</v>
      </c>
      <c r="G127" s="5">
        <v>3.7570444583594239E-3</v>
      </c>
    </row>
    <row r="128" spans="1:7" ht="23.05" customHeight="1">
      <c r="A128" s="4">
        <v>500</v>
      </c>
      <c r="B128" s="4" t="s">
        <v>46</v>
      </c>
      <c r="C128" s="4">
        <v>24</v>
      </c>
      <c r="D128" s="4">
        <v>50</v>
      </c>
      <c r="E128" s="5">
        <v>0.48</v>
      </c>
      <c r="F128" s="4">
        <v>5</v>
      </c>
      <c r="G128" s="5">
        <v>3.1308703819661866E-3</v>
      </c>
    </row>
    <row r="129" spans="1:7" ht="23.05" customHeight="1">
      <c r="A129" s="4">
        <v>500</v>
      </c>
      <c r="B129" s="4" t="s">
        <v>46</v>
      </c>
      <c r="C129" s="4">
        <v>25</v>
      </c>
      <c r="D129" s="4">
        <v>50</v>
      </c>
      <c r="E129" s="5">
        <v>0.5</v>
      </c>
      <c r="F129" s="4">
        <v>5</v>
      </c>
      <c r="G129" s="5">
        <v>3.1308703819661866E-3</v>
      </c>
    </row>
    <row r="130" spans="1:7" ht="23.05" customHeight="1">
      <c r="A130" s="4">
        <v>500</v>
      </c>
      <c r="B130" s="4" t="s">
        <v>46</v>
      </c>
      <c r="C130" s="4">
        <v>26</v>
      </c>
      <c r="D130" s="4">
        <v>50</v>
      </c>
      <c r="E130" s="5">
        <v>0.52</v>
      </c>
      <c r="F130" s="4">
        <v>5</v>
      </c>
      <c r="G130" s="5">
        <v>3.1308703819661866E-3</v>
      </c>
    </row>
    <row r="131" spans="1:7" ht="23.05" customHeight="1">
      <c r="A131" s="4">
        <v>500</v>
      </c>
      <c r="B131" s="4" t="s">
        <v>46</v>
      </c>
      <c r="C131" s="4">
        <v>27</v>
      </c>
      <c r="D131" s="4">
        <v>50</v>
      </c>
      <c r="E131" s="5">
        <v>0.54</v>
      </c>
      <c r="F131" s="4">
        <v>3</v>
      </c>
      <c r="G131" s="5">
        <v>1.878522229179712E-3</v>
      </c>
    </row>
    <row r="132" spans="1:7" ht="23.05" customHeight="1">
      <c r="A132" s="4">
        <v>500</v>
      </c>
      <c r="B132" s="4" t="s">
        <v>46</v>
      </c>
      <c r="C132" s="4">
        <v>32</v>
      </c>
      <c r="D132" s="4">
        <v>50</v>
      </c>
      <c r="E132" s="5">
        <v>0.64</v>
      </c>
      <c r="F132" s="4">
        <v>1</v>
      </c>
      <c r="G132" s="5">
        <v>6.2617407639323729E-4</v>
      </c>
    </row>
    <row r="133" spans="1:7" ht="23.05" customHeight="1">
      <c r="A133" s="4">
        <v>500</v>
      </c>
      <c r="B133" s="4" t="s">
        <v>46</v>
      </c>
      <c r="C133" s="4">
        <v>33</v>
      </c>
      <c r="D133" s="4">
        <v>50</v>
      </c>
      <c r="E133" s="5">
        <v>0.66</v>
      </c>
      <c r="F133" s="4">
        <v>1</v>
      </c>
      <c r="G133" s="5">
        <v>6.2617407639323729E-4</v>
      </c>
    </row>
    <row r="134" spans="1:7" ht="23.05" customHeight="1">
      <c r="A134" s="4">
        <v>500</v>
      </c>
      <c r="B134" s="4" t="s">
        <v>46</v>
      </c>
      <c r="C134" s="4">
        <v>36</v>
      </c>
      <c r="D134" s="4">
        <v>50</v>
      </c>
      <c r="E134" s="5">
        <v>0.72</v>
      </c>
      <c r="F134" s="4">
        <v>1</v>
      </c>
      <c r="G134" s="5">
        <v>6.2617407639323729E-4</v>
      </c>
    </row>
    <row r="135" spans="1:7" ht="23.05" customHeight="1">
      <c r="A135" s="4">
        <v>500</v>
      </c>
      <c r="B135" s="4" t="s">
        <v>46</v>
      </c>
      <c r="C135" s="4">
        <v>37</v>
      </c>
      <c r="D135" s="4">
        <v>50</v>
      </c>
      <c r="E135" s="5">
        <v>0.74</v>
      </c>
      <c r="F135" s="4">
        <v>1</v>
      </c>
      <c r="G135" s="5">
        <v>6.2617407639323729E-4</v>
      </c>
    </row>
    <row r="136" spans="1:7" ht="23.05" customHeight="1">
      <c r="A136" s="4">
        <v>500</v>
      </c>
      <c r="B136" s="4" t="s">
        <v>46</v>
      </c>
      <c r="C136" s="4">
        <v>38</v>
      </c>
      <c r="D136" s="4">
        <v>50</v>
      </c>
      <c r="E136" s="5">
        <v>0.76</v>
      </c>
      <c r="F136" s="4">
        <v>10</v>
      </c>
      <c r="G136" s="5">
        <v>6.2617407639323731E-3</v>
      </c>
    </row>
    <row r="137" spans="1:7" ht="23.05" customHeight="1">
      <c r="A137" s="4">
        <v>500</v>
      </c>
      <c r="B137" s="4" t="s">
        <v>46</v>
      </c>
      <c r="C137" s="4">
        <v>46</v>
      </c>
      <c r="D137" s="4">
        <v>50</v>
      </c>
      <c r="E137" s="5">
        <v>0.92</v>
      </c>
      <c r="F137" s="4">
        <v>1</v>
      </c>
      <c r="G137" s="5">
        <v>6.2617407639323729E-4</v>
      </c>
    </row>
    <row r="138" spans="1:7" ht="23.05" customHeight="1">
      <c r="A138" s="4">
        <v>500</v>
      </c>
      <c r="B138" s="4" t="s">
        <v>46</v>
      </c>
      <c r="C138" s="4">
        <v>47</v>
      </c>
      <c r="D138" s="4">
        <v>50</v>
      </c>
      <c r="E138" s="5">
        <v>0.94</v>
      </c>
      <c r="F138" s="4">
        <v>25</v>
      </c>
      <c r="G138" s="5">
        <v>1.5654351909830933E-2</v>
      </c>
    </row>
    <row r="139" spans="1:7" ht="23.05" customHeight="1">
      <c r="A139" s="4">
        <v>500</v>
      </c>
      <c r="B139" s="4" t="s">
        <v>46</v>
      </c>
      <c r="C139" s="4">
        <v>48</v>
      </c>
      <c r="D139" s="4">
        <v>50</v>
      </c>
      <c r="E139" s="5">
        <v>0.96</v>
      </c>
      <c r="F139" s="4">
        <v>22</v>
      </c>
      <c r="G139" s="5">
        <v>1.3775829680651221E-2</v>
      </c>
    </row>
    <row r="140" spans="1:7" ht="23.05" customHeight="1">
      <c r="A140" s="4">
        <v>500</v>
      </c>
      <c r="B140" s="4" t="s">
        <v>46</v>
      </c>
      <c r="C140" s="4">
        <v>49</v>
      </c>
      <c r="D140" s="4">
        <v>50</v>
      </c>
      <c r="E140" s="5">
        <v>0.98</v>
      </c>
      <c r="F140" s="4">
        <v>14</v>
      </c>
      <c r="G140" s="5">
        <v>8.7664370695053218E-3</v>
      </c>
    </row>
    <row r="141" spans="1:7" ht="23.05" customHeight="1">
      <c r="A141" s="4">
        <v>500</v>
      </c>
      <c r="B141" s="4" t="s">
        <v>46</v>
      </c>
      <c r="C141" s="4">
        <v>50</v>
      </c>
      <c r="D141" s="4">
        <v>50</v>
      </c>
      <c r="E141" s="5">
        <v>1</v>
      </c>
      <c r="F141" s="4">
        <v>264</v>
      </c>
      <c r="G141" s="5">
        <v>0.16530995616781466</v>
      </c>
    </row>
    <row r="142" spans="1:7" ht="23.05" customHeight="1">
      <c r="A142" s="4">
        <v>500</v>
      </c>
      <c r="B142" s="4" t="s">
        <v>45</v>
      </c>
      <c r="C142" s="4">
        <v>1</v>
      </c>
      <c r="D142" s="4">
        <v>50</v>
      </c>
      <c r="E142" s="5">
        <v>0.02</v>
      </c>
      <c r="F142" s="4">
        <v>407693</v>
      </c>
      <c r="G142" s="5">
        <v>0.51188968004148427</v>
      </c>
    </row>
    <row r="143" spans="1:7" ht="23.05" customHeight="1">
      <c r="A143" s="4">
        <v>500</v>
      </c>
      <c r="B143" s="4" t="s">
        <v>45</v>
      </c>
      <c r="C143" s="4">
        <v>2</v>
      </c>
      <c r="D143" s="4">
        <v>50</v>
      </c>
      <c r="E143" s="5">
        <v>0.04</v>
      </c>
      <c r="F143" s="4">
        <v>149288</v>
      </c>
      <c r="G143" s="5">
        <v>0.18744247890945662</v>
      </c>
    </row>
    <row r="144" spans="1:7" ht="23.05" customHeight="1">
      <c r="A144" s="4">
        <v>500</v>
      </c>
      <c r="B144" s="4" t="s">
        <v>45</v>
      </c>
      <c r="C144" s="4">
        <v>3</v>
      </c>
      <c r="D144" s="4">
        <v>50</v>
      </c>
      <c r="E144" s="5">
        <v>0.06</v>
      </c>
      <c r="F144" s="4">
        <v>61909</v>
      </c>
      <c r="G144" s="5">
        <v>7.7731474912957177E-2</v>
      </c>
    </row>
    <row r="145" spans="1:7" ht="23.05" customHeight="1">
      <c r="A145" s="4">
        <v>500</v>
      </c>
      <c r="B145" s="4" t="s">
        <v>45</v>
      </c>
      <c r="C145" s="4">
        <v>4</v>
      </c>
      <c r="D145" s="4">
        <v>50</v>
      </c>
      <c r="E145" s="5">
        <v>0.08</v>
      </c>
      <c r="F145" s="4">
        <v>24371</v>
      </c>
      <c r="G145" s="5">
        <v>3.0599650698665447E-2</v>
      </c>
    </row>
    <row r="146" spans="1:7" ht="23.05" customHeight="1">
      <c r="A146" s="4">
        <v>500</v>
      </c>
      <c r="B146" s="4" t="s">
        <v>45</v>
      </c>
      <c r="C146" s="4">
        <v>5</v>
      </c>
      <c r="D146" s="4">
        <v>50</v>
      </c>
      <c r="E146" s="5">
        <v>0.1</v>
      </c>
      <c r="F146" s="4">
        <v>15019</v>
      </c>
      <c r="G146" s="5">
        <v>1.8857500875764488E-2</v>
      </c>
    </row>
    <row r="147" spans="1:7" ht="23.05" customHeight="1">
      <c r="A147" s="4">
        <v>500</v>
      </c>
      <c r="B147" s="4" t="s">
        <v>45</v>
      </c>
      <c r="C147" s="4">
        <v>6</v>
      </c>
      <c r="D147" s="4">
        <v>50</v>
      </c>
      <c r="E147" s="5">
        <v>0.12</v>
      </c>
      <c r="F147" s="4">
        <v>11831</v>
      </c>
      <c r="G147" s="5">
        <v>1.4854723540926137E-2</v>
      </c>
    </row>
    <row r="148" spans="1:7" ht="23.05" customHeight="1">
      <c r="A148" s="4">
        <v>500</v>
      </c>
      <c r="B148" s="4" t="s">
        <v>45</v>
      </c>
      <c r="C148" s="4">
        <v>7</v>
      </c>
      <c r="D148" s="4">
        <v>50</v>
      </c>
      <c r="E148" s="5">
        <v>0.14000000000000001</v>
      </c>
      <c r="F148" s="4">
        <v>9472</v>
      </c>
      <c r="G148" s="5">
        <v>1.1892818982305162E-2</v>
      </c>
    </row>
    <row r="149" spans="1:7" ht="23.05" customHeight="1">
      <c r="A149" s="4">
        <v>500</v>
      </c>
      <c r="B149" s="4" t="s">
        <v>45</v>
      </c>
      <c r="C149" s="4">
        <v>8</v>
      </c>
      <c r="D149" s="4">
        <v>50</v>
      </c>
      <c r="E149" s="5">
        <v>0.16</v>
      </c>
      <c r="F149" s="4">
        <v>7944</v>
      </c>
      <c r="G149" s="5">
        <v>9.9742983525582998E-3</v>
      </c>
    </row>
    <row r="150" spans="1:7" ht="23.05" customHeight="1">
      <c r="A150" s="4">
        <v>500</v>
      </c>
      <c r="B150" s="4" t="s">
        <v>45</v>
      </c>
      <c r="C150" s="4">
        <v>9</v>
      </c>
      <c r="D150" s="4">
        <v>50</v>
      </c>
      <c r="E150" s="5">
        <v>0.18</v>
      </c>
      <c r="F150" s="4">
        <v>6607</v>
      </c>
      <c r="G150" s="5">
        <v>8.2955928015297949E-3</v>
      </c>
    </row>
    <row r="151" spans="1:7" ht="23.05" customHeight="1">
      <c r="A151" s="4">
        <v>500</v>
      </c>
      <c r="B151" s="4" t="s">
        <v>45</v>
      </c>
      <c r="C151" s="4">
        <v>10</v>
      </c>
      <c r="D151" s="4">
        <v>50</v>
      </c>
      <c r="E151" s="5">
        <v>0.2</v>
      </c>
      <c r="F151" s="4">
        <v>6391</v>
      </c>
      <c r="G151" s="5">
        <v>8.0243883146022266E-3</v>
      </c>
    </row>
    <row r="152" spans="1:7" ht="23.05" customHeight="1">
      <c r="A152" s="4">
        <v>500</v>
      </c>
      <c r="B152" s="4" t="s">
        <v>45</v>
      </c>
      <c r="C152" s="4">
        <v>11</v>
      </c>
      <c r="D152" s="4">
        <v>50</v>
      </c>
      <c r="E152" s="5">
        <v>0.22</v>
      </c>
      <c r="F152" s="4">
        <v>6110</v>
      </c>
      <c r="G152" s="5">
        <v>7.6715713663307161E-3</v>
      </c>
    </row>
    <row r="153" spans="1:7" ht="23.05" customHeight="1">
      <c r="A153" s="4">
        <v>500</v>
      </c>
      <c r="B153" s="4" t="s">
        <v>45</v>
      </c>
      <c r="C153" s="4">
        <v>12</v>
      </c>
      <c r="D153" s="4">
        <v>50</v>
      </c>
      <c r="E153" s="5">
        <v>0.24</v>
      </c>
      <c r="F153" s="4">
        <v>6394</v>
      </c>
      <c r="G153" s="5">
        <v>8.028155043587332E-3</v>
      </c>
    </row>
    <row r="154" spans="1:7" ht="23.05" customHeight="1">
      <c r="A154" s="4">
        <v>500</v>
      </c>
      <c r="B154" s="4" t="s">
        <v>45</v>
      </c>
      <c r="C154" s="4">
        <v>13</v>
      </c>
      <c r="D154" s="4">
        <v>50</v>
      </c>
      <c r="E154" s="5">
        <v>0.26</v>
      </c>
      <c r="F154" s="4">
        <v>6774</v>
      </c>
      <c r="G154" s="5">
        <v>8.5052740483673121E-3</v>
      </c>
    </row>
    <row r="155" spans="1:7" ht="23.05" customHeight="1">
      <c r="A155" s="4">
        <v>500</v>
      </c>
      <c r="B155" s="4" t="s">
        <v>45</v>
      </c>
      <c r="C155" s="4">
        <v>14</v>
      </c>
      <c r="D155" s="4">
        <v>50</v>
      </c>
      <c r="E155" s="5">
        <v>0.28000000000000003</v>
      </c>
      <c r="F155" s="4">
        <v>6268</v>
      </c>
      <c r="G155" s="5">
        <v>7.8699524262129186E-3</v>
      </c>
    </row>
    <row r="156" spans="1:7" ht="23.05" customHeight="1">
      <c r="A156" s="4">
        <v>500</v>
      </c>
      <c r="B156" s="4" t="s">
        <v>45</v>
      </c>
      <c r="C156" s="4">
        <v>15</v>
      </c>
      <c r="D156" s="4">
        <v>50</v>
      </c>
      <c r="E156" s="5">
        <v>0.3</v>
      </c>
      <c r="F156" s="4">
        <v>6028</v>
      </c>
      <c r="G156" s="5">
        <v>7.5686141074045102E-3</v>
      </c>
    </row>
    <row r="157" spans="1:7" ht="23.05" customHeight="1">
      <c r="A157" s="4">
        <v>500</v>
      </c>
      <c r="B157" s="4" t="s">
        <v>45</v>
      </c>
      <c r="C157" s="4">
        <v>16</v>
      </c>
      <c r="D157" s="4">
        <v>50</v>
      </c>
      <c r="E157" s="5">
        <v>0.32</v>
      </c>
      <c r="F157" s="4">
        <v>5563</v>
      </c>
      <c r="G157" s="5">
        <v>6.9847711147132197E-3</v>
      </c>
    </row>
    <row r="158" spans="1:7" ht="23.05" customHeight="1">
      <c r="A158" s="4">
        <v>500</v>
      </c>
      <c r="B158" s="4" t="s">
        <v>45</v>
      </c>
      <c r="C158" s="4">
        <v>17</v>
      </c>
      <c r="D158" s="4">
        <v>50</v>
      </c>
      <c r="E158" s="5">
        <v>0.34</v>
      </c>
      <c r="F158" s="4">
        <v>4933</v>
      </c>
      <c r="G158" s="5">
        <v>6.1937580278411493E-3</v>
      </c>
    </row>
    <row r="159" spans="1:7" ht="23.05" customHeight="1">
      <c r="A159" s="4">
        <v>500</v>
      </c>
      <c r="B159" s="4" t="s">
        <v>45</v>
      </c>
      <c r="C159" s="4">
        <v>18</v>
      </c>
      <c r="D159" s="4">
        <v>50</v>
      </c>
      <c r="E159" s="5">
        <v>0.36</v>
      </c>
      <c r="F159" s="4">
        <v>4531</v>
      </c>
      <c r="G159" s="5">
        <v>5.6890163438370663E-3</v>
      </c>
    </row>
    <row r="160" spans="1:7" ht="23.05" customHeight="1">
      <c r="A160" s="4">
        <v>500</v>
      </c>
      <c r="B160" s="4" t="s">
        <v>45</v>
      </c>
      <c r="C160" s="4">
        <v>19</v>
      </c>
      <c r="D160" s="4">
        <v>50</v>
      </c>
      <c r="E160" s="5">
        <v>0.38</v>
      </c>
      <c r="F160" s="4">
        <v>3999</v>
      </c>
      <c r="G160" s="5">
        <v>5.0210497371450955E-3</v>
      </c>
    </row>
    <row r="161" spans="1:7" ht="23.05" customHeight="1">
      <c r="A161" s="4">
        <v>500</v>
      </c>
      <c r="B161" s="4" t="s">
        <v>45</v>
      </c>
      <c r="C161" s="4">
        <v>20</v>
      </c>
      <c r="D161" s="4">
        <v>50</v>
      </c>
      <c r="E161" s="5">
        <v>0.4</v>
      </c>
      <c r="F161" s="4">
        <v>3665</v>
      </c>
      <c r="G161" s="5">
        <v>4.6016872434700611E-3</v>
      </c>
    </row>
    <row r="162" spans="1:7" ht="23.05" customHeight="1">
      <c r="A162" s="4">
        <v>500</v>
      </c>
      <c r="B162" s="4" t="s">
        <v>45</v>
      </c>
      <c r="C162" s="4">
        <v>21</v>
      </c>
      <c r="D162" s="4">
        <v>50</v>
      </c>
      <c r="E162" s="5">
        <v>0.42</v>
      </c>
      <c r="F162" s="4">
        <v>3235</v>
      </c>
      <c r="G162" s="5">
        <v>4.0617894222716644E-3</v>
      </c>
    </row>
    <row r="163" spans="1:7" ht="23.05" customHeight="1">
      <c r="A163" s="4">
        <v>500</v>
      </c>
      <c r="B163" s="4" t="s">
        <v>45</v>
      </c>
      <c r="C163" s="4">
        <v>22</v>
      </c>
      <c r="D163" s="4">
        <v>50</v>
      </c>
      <c r="E163" s="5">
        <v>0.44</v>
      </c>
      <c r="F163" s="4">
        <v>3001</v>
      </c>
      <c r="G163" s="5">
        <v>3.7679845614334664E-3</v>
      </c>
    </row>
    <row r="164" spans="1:7" ht="23.05" customHeight="1">
      <c r="A164" s="4">
        <v>500</v>
      </c>
      <c r="B164" s="4" t="s">
        <v>45</v>
      </c>
      <c r="C164" s="4">
        <v>23</v>
      </c>
      <c r="D164" s="4">
        <v>50</v>
      </c>
      <c r="E164" s="5">
        <v>0.46</v>
      </c>
      <c r="F164" s="4">
        <v>2631</v>
      </c>
      <c r="G164" s="5">
        <v>3.3034213199371709E-3</v>
      </c>
    </row>
    <row r="165" spans="1:7" ht="23.05" customHeight="1">
      <c r="A165" s="4">
        <v>500</v>
      </c>
      <c r="B165" s="4" t="s">
        <v>45</v>
      </c>
      <c r="C165" s="4">
        <v>24</v>
      </c>
      <c r="D165" s="4">
        <v>50</v>
      </c>
      <c r="E165" s="5">
        <v>0.48</v>
      </c>
      <c r="F165" s="4">
        <v>2310</v>
      </c>
      <c r="G165" s="5">
        <v>2.9003813185309256E-3</v>
      </c>
    </row>
    <row r="166" spans="1:7" ht="23.05" customHeight="1">
      <c r="A166" s="4">
        <v>500</v>
      </c>
      <c r="B166" s="4" t="s">
        <v>45</v>
      </c>
      <c r="C166" s="4">
        <v>25</v>
      </c>
      <c r="D166" s="4">
        <v>50</v>
      </c>
      <c r="E166" s="5">
        <v>0.5</v>
      </c>
      <c r="F166" s="4">
        <v>1927</v>
      </c>
      <c r="G166" s="5">
        <v>2.4194955847658415E-3</v>
      </c>
    </row>
    <row r="167" spans="1:7" ht="23.05" customHeight="1">
      <c r="A167" s="4">
        <v>500</v>
      </c>
      <c r="B167" s="4" t="s">
        <v>45</v>
      </c>
      <c r="C167" s="4">
        <v>26</v>
      </c>
      <c r="D167" s="4">
        <v>50</v>
      </c>
      <c r="E167" s="5">
        <v>0.52</v>
      </c>
      <c r="F167" s="4">
        <v>1780</v>
      </c>
      <c r="G167" s="5">
        <v>2.2349258644956916E-3</v>
      </c>
    </row>
    <row r="168" spans="1:7" ht="23.05" customHeight="1">
      <c r="A168" s="4">
        <v>500</v>
      </c>
      <c r="B168" s="4" t="s">
        <v>45</v>
      </c>
      <c r="C168" s="4">
        <v>27</v>
      </c>
      <c r="D168" s="4">
        <v>50</v>
      </c>
      <c r="E168" s="5">
        <v>0.54</v>
      </c>
      <c r="F168" s="4">
        <v>1680</v>
      </c>
      <c r="G168" s="5">
        <v>2.1093682316588548E-3</v>
      </c>
    </row>
    <row r="169" spans="1:7" ht="23.05" customHeight="1">
      <c r="A169" s="4">
        <v>500</v>
      </c>
      <c r="B169" s="4" t="s">
        <v>45</v>
      </c>
      <c r="C169" s="4">
        <v>28</v>
      </c>
      <c r="D169" s="4">
        <v>50</v>
      </c>
      <c r="E169" s="5">
        <v>0.56000000000000005</v>
      </c>
      <c r="F169" s="4">
        <v>1507</v>
      </c>
      <c r="G169" s="5">
        <v>1.8921535268511275E-3</v>
      </c>
    </row>
    <row r="170" spans="1:7" ht="23.05" customHeight="1">
      <c r="A170" s="4">
        <v>500</v>
      </c>
      <c r="B170" s="4" t="s">
        <v>45</v>
      </c>
      <c r="C170" s="4">
        <v>29</v>
      </c>
      <c r="D170" s="4">
        <v>50</v>
      </c>
      <c r="E170" s="5">
        <v>0.57999999999999996</v>
      </c>
      <c r="F170" s="4">
        <v>1440</v>
      </c>
      <c r="G170" s="5">
        <v>1.808029912850447E-3</v>
      </c>
    </row>
    <row r="171" spans="1:7" ht="23.05" customHeight="1">
      <c r="A171" s="4">
        <v>500</v>
      </c>
      <c r="B171" s="4" t="s">
        <v>45</v>
      </c>
      <c r="C171" s="4">
        <v>30</v>
      </c>
      <c r="D171" s="4">
        <v>50</v>
      </c>
      <c r="E171" s="5">
        <v>0.6</v>
      </c>
      <c r="F171" s="4">
        <v>1386</v>
      </c>
      <c r="G171" s="5">
        <v>1.7402287911185553E-3</v>
      </c>
    </row>
    <row r="172" spans="1:7" ht="23.05" customHeight="1">
      <c r="A172" s="4">
        <v>500</v>
      </c>
      <c r="B172" s="4" t="s">
        <v>45</v>
      </c>
      <c r="C172" s="4">
        <v>31</v>
      </c>
      <c r="D172" s="4">
        <v>50</v>
      </c>
      <c r="E172" s="5">
        <v>0.62</v>
      </c>
      <c r="F172" s="4">
        <v>1259</v>
      </c>
      <c r="G172" s="5">
        <v>1.5807705974157729E-3</v>
      </c>
    </row>
    <row r="173" spans="1:7" ht="23.05" customHeight="1">
      <c r="A173" s="4">
        <v>500</v>
      </c>
      <c r="B173" s="4" t="s">
        <v>45</v>
      </c>
      <c r="C173" s="4">
        <v>32</v>
      </c>
      <c r="D173" s="4">
        <v>50</v>
      </c>
      <c r="E173" s="5">
        <v>0.64</v>
      </c>
      <c r="F173" s="4">
        <v>1167</v>
      </c>
      <c r="G173" s="5">
        <v>1.4652575752058831E-3</v>
      </c>
    </row>
    <row r="174" spans="1:7" ht="23.05" customHeight="1">
      <c r="A174" s="4">
        <v>500</v>
      </c>
      <c r="B174" s="4" t="s">
        <v>45</v>
      </c>
      <c r="C174" s="4">
        <v>33</v>
      </c>
      <c r="D174" s="4">
        <v>50</v>
      </c>
      <c r="E174" s="5">
        <v>0.66</v>
      </c>
      <c r="F174" s="4">
        <v>1147</v>
      </c>
      <c r="G174" s="5">
        <v>1.4401460486385157E-3</v>
      </c>
    </row>
    <row r="175" spans="1:7" ht="23.05" customHeight="1">
      <c r="A175" s="4">
        <v>500</v>
      </c>
      <c r="B175" s="4" t="s">
        <v>45</v>
      </c>
      <c r="C175" s="4">
        <v>34</v>
      </c>
      <c r="D175" s="4">
        <v>50</v>
      </c>
      <c r="E175" s="5">
        <v>0.68</v>
      </c>
      <c r="F175" s="4">
        <v>1136</v>
      </c>
      <c r="G175" s="5">
        <v>1.4263347090264639E-3</v>
      </c>
    </row>
    <row r="176" spans="1:7" ht="23.05" customHeight="1">
      <c r="A176" s="4">
        <v>500</v>
      </c>
      <c r="B176" s="4" t="s">
        <v>45</v>
      </c>
      <c r="C176" s="4">
        <v>35</v>
      </c>
      <c r="D176" s="4">
        <v>50</v>
      </c>
      <c r="E176" s="5">
        <v>0.7</v>
      </c>
      <c r="F176" s="4">
        <v>1050</v>
      </c>
      <c r="G176" s="5">
        <v>1.3183551447867843E-3</v>
      </c>
    </row>
    <row r="177" spans="1:7" ht="23.05" customHeight="1">
      <c r="A177" s="4">
        <v>500</v>
      </c>
      <c r="B177" s="4" t="s">
        <v>45</v>
      </c>
      <c r="C177" s="4">
        <v>36</v>
      </c>
      <c r="D177" s="4">
        <v>50</v>
      </c>
      <c r="E177" s="5">
        <v>0.72</v>
      </c>
      <c r="F177" s="4">
        <v>990</v>
      </c>
      <c r="G177" s="5">
        <v>1.2430205650846825E-3</v>
      </c>
    </row>
    <row r="178" spans="1:7" ht="23.05" customHeight="1">
      <c r="A178" s="4">
        <v>500</v>
      </c>
      <c r="B178" s="4" t="s">
        <v>45</v>
      </c>
      <c r="C178" s="4">
        <v>37</v>
      </c>
      <c r="D178" s="4">
        <v>50</v>
      </c>
      <c r="E178" s="5">
        <v>0.74</v>
      </c>
      <c r="F178" s="4">
        <v>841</v>
      </c>
      <c r="G178" s="5">
        <v>1.0559396921577958E-3</v>
      </c>
    </row>
    <row r="179" spans="1:7" ht="23.05" customHeight="1">
      <c r="A179" s="4">
        <v>500</v>
      </c>
      <c r="B179" s="4" t="s">
        <v>45</v>
      </c>
      <c r="C179" s="4">
        <v>38</v>
      </c>
      <c r="D179" s="4">
        <v>50</v>
      </c>
      <c r="E179" s="5">
        <v>0.76</v>
      </c>
      <c r="F179" s="4">
        <v>737</v>
      </c>
      <c r="G179" s="5">
        <v>9.2535975400748574E-4</v>
      </c>
    </row>
    <row r="180" spans="1:7" ht="23.05" customHeight="1">
      <c r="A180" s="4">
        <v>500</v>
      </c>
      <c r="B180" s="4" t="s">
        <v>45</v>
      </c>
      <c r="C180" s="4">
        <v>39</v>
      </c>
      <c r="D180" s="4">
        <v>50</v>
      </c>
      <c r="E180" s="5">
        <v>0.78</v>
      </c>
      <c r="F180" s="4">
        <v>656</v>
      </c>
      <c r="G180" s="5">
        <v>8.2365807140964806E-4</v>
      </c>
    </row>
    <row r="181" spans="1:7" ht="23.05" customHeight="1">
      <c r="A181" s="4">
        <v>500</v>
      </c>
      <c r="B181" s="4" t="s">
        <v>45</v>
      </c>
      <c r="C181" s="4">
        <v>40</v>
      </c>
      <c r="D181" s="4">
        <v>50</v>
      </c>
      <c r="E181" s="5">
        <v>0.8</v>
      </c>
      <c r="F181" s="4">
        <v>588</v>
      </c>
      <c r="G181" s="5">
        <v>7.3827888108059919E-4</v>
      </c>
    </row>
    <row r="182" spans="1:7" ht="23.05" customHeight="1">
      <c r="A182" s="4">
        <v>500</v>
      </c>
      <c r="B182" s="4" t="s">
        <v>45</v>
      </c>
      <c r="C182" s="4">
        <v>41</v>
      </c>
      <c r="D182" s="4">
        <v>50</v>
      </c>
      <c r="E182" s="5">
        <v>0.82</v>
      </c>
      <c r="F182" s="4">
        <v>664</v>
      </c>
      <c r="G182" s="5">
        <v>8.3370268203659503E-4</v>
      </c>
    </row>
    <row r="183" spans="1:7" ht="23.05" customHeight="1">
      <c r="A183" s="4">
        <v>500</v>
      </c>
      <c r="B183" s="4" t="s">
        <v>45</v>
      </c>
      <c r="C183" s="4">
        <v>42</v>
      </c>
      <c r="D183" s="4">
        <v>50</v>
      </c>
      <c r="E183" s="5">
        <v>0.84</v>
      </c>
      <c r="F183" s="4">
        <v>508</v>
      </c>
      <c r="G183" s="5">
        <v>6.3783277481112993E-4</v>
      </c>
    </row>
    <row r="184" spans="1:7" ht="23.05" customHeight="1">
      <c r="A184" s="4">
        <v>500</v>
      </c>
      <c r="B184" s="4" t="s">
        <v>45</v>
      </c>
      <c r="C184" s="4">
        <v>43</v>
      </c>
      <c r="D184" s="4">
        <v>50</v>
      </c>
      <c r="E184" s="5">
        <v>0.86</v>
      </c>
      <c r="F184" s="4">
        <v>470</v>
      </c>
      <c r="G184" s="5">
        <v>5.9012087433313201E-4</v>
      </c>
    </row>
    <row r="185" spans="1:7" ht="23.05" customHeight="1">
      <c r="A185" s="4">
        <v>500</v>
      </c>
      <c r="B185" s="4" t="s">
        <v>45</v>
      </c>
      <c r="C185" s="4">
        <v>44</v>
      </c>
      <c r="D185" s="4">
        <v>50</v>
      </c>
      <c r="E185" s="5">
        <v>0.88</v>
      </c>
      <c r="F185" s="4">
        <v>457</v>
      </c>
      <c r="G185" s="5">
        <v>5.7379838206434331E-4</v>
      </c>
    </row>
    <row r="186" spans="1:7" ht="23.05" customHeight="1">
      <c r="A186" s="4">
        <v>500</v>
      </c>
      <c r="B186" s="4" t="s">
        <v>45</v>
      </c>
      <c r="C186" s="4">
        <v>45</v>
      </c>
      <c r="D186" s="4">
        <v>50</v>
      </c>
      <c r="E186" s="5">
        <v>0.9</v>
      </c>
      <c r="F186" s="4">
        <v>373</v>
      </c>
      <c r="G186" s="5">
        <v>4.683299704814005E-4</v>
      </c>
    </row>
    <row r="187" spans="1:7" ht="23.05" customHeight="1">
      <c r="A187" s="4">
        <v>500</v>
      </c>
      <c r="B187" s="4" t="s">
        <v>45</v>
      </c>
      <c r="C187" s="4">
        <v>46</v>
      </c>
      <c r="D187" s="4">
        <v>50</v>
      </c>
      <c r="E187" s="5">
        <v>0.92</v>
      </c>
      <c r="F187" s="4">
        <v>317</v>
      </c>
      <c r="G187" s="5">
        <v>3.9801769609277204E-4</v>
      </c>
    </row>
    <row r="188" spans="1:7" ht="23.05" customHeight="1">
      <c r="A188" s="4">
        <v>500</v>
      </c>
      <c r="B188" s="4" t="s">
        <v>45</v>
      </c>
      <c r="C188" s="4">
        <v>47</v>
      </c>
      <c r="D188" s="4">
        <v>50</v>
      </c>
      <c r="E188" s="5">
        <v>0.94</v>
      </c>
      <c r="F188" s="4">
        <v>302</v>
      </c>
      <c r="G188" s="5">
        <v>3.7918405116724651E-4</v>
      </c>
    </row>
    <row r="189" spans="1:7" ht="23.05" customHeight="1">
      <c r="A189" s="4">
        <v>500</v>
      </c>
      <c r="B189" s="4" t="s">
        <v>45</v>
      </c>
      <c r="C189" s="4">
        <v>48</v>
      </c>
      <c r="D189" s="4">
        <v>50</v>
      </c>
      <c r="E189" s="5">
        <v>0.96</v>
      </c>
      <c r="F189" s="4">
        <v>308</v>
      </c>
      <c r="G189" s="5">
        <v>3.8671750913745671E-4</v>
      </c>
    </row>
    <row r="190" spans="1:7" ht="23.05" customHeight="1">
      <c r="A190" s="4">
        <v>500</v>
      </c>
      <c r="B190" s="4" t="s">
        <v>45</v>
      </c>
      <c r="C190" s="4">
        <v>49</v>
      </c>
      <c r="D190" s="4">
        <v>50</v>
      </c>
      <c r="E190" s="5">
        <v>0.98</v>
      </c>
      <c r="F190" s="4">
        <v>346</v>
      </c>
      <c r="G190" s="5">
        <v>4.3442940961545463E-4</v>
      </c>
    </row>
    <row r="191" spans="1:7" ht="23.05" customHeight="1">
      <c r="A191" s="4">
        <v>500</v>
      </c>
      <c r="B191" s="4" t="s">
        <v>45</v>
      </c>
      <c r="C191" s="4">
        <v>50</v>
      </c>
      <c r="D191" s="4">
        <v>50</v>
      </c>
      <c r="E191" s="5">
        <v>1</v>
      </c>
      <c r="F191" s="4">
        <v>7444</v>
      </c>
      <c r="G191" s="5">
        <v>9.3465101883741172E-3</v>
      </c>
    </row>
    <row r="192" spans="1:7" ht="23.05" customHeight="1">
      <c r="A192" s="4">
        <v>500</v>
      </c>
      <c r="B192" s="4" t="s">
        <v>47</v>
      </c>
      <c r="C192" s="4">
        <v>1</v>
      </c>
      <c r="D192" s="4">
        <v>50</v>
      </c>
      <c r="E192" s="5">
        <v>0.02</v>
      </c>
      <c r="F192" s="4">
        <v>82</v>
      </c>
      <c r="G192" s="5">
        <v>3.0025631636763091E-2</v>
      </c>
    </row>
    <row r="193" spans="1:7" ht="23.05" customHeight="1">
      <c r="A193" s="4">
        <v>500</v>
      </c>
      <c r="B193" s="4" t="s">
        <v>47</v>
      </c>
      <c r="C193" s="4">
        <v>2</v>
      </c>
      <c r="D193" s="4">
        <v>50</v>
      </c>
      <c r="E193" s="5">
        <v>0.04</v>
      </c>
      <c r="F193" s="4">
        <v>203</v>
      </c>
      <c r="G193" s="5">
        <v>7.4331746612962282E-2</v>
      </c>
    </row>
    <row r="194" spans="1:7" ht="23.05" customHeight="1">
      <c r="A194" s="4">
        <v>500</v>
      </c>
      <c r="B194" s="4" t="s">
        <v>47</v>
      </c>
      <c r="C194" s="4">
        <v>3</v>
      </c>
      <c r="D194" s="4">
        <v>50</v>
      </c>
      <c r="E194" s="5">
        <v>0.06</v>
      </c>
      <c r="F194" s="4">
        <v>148</v>
      </c>
      <c r="G194" s="5">
        <v>5.4192603441962653E-2</v>
      </c>
    </row>
    <row r="195" spans="1:7" ht="23.05" customHeight="1">
      <c r="A195" s="4">
        <v>500</v>
      </c>
      <c r="B195" s="4" t="s">
        <v>47</v>
      </c>
      <c r="C195" s="4">
        <v>4</v>
      </c>
      <c r="D195" s="4">
        <v>50</v>
      </c>
      <c r="E195" s="5">
        <v>0.08</v>
      </c>
      <c r="F195" s="4">
        <v>128</v>
      </c>
      <c r="G195" s="5">
        <v>4.6869278652508235E-2</v>
      </c>
    </row>
    <row r="196" spans="1:7" ht="23.05" customHeight="1">
      <c r="A196" s="4">
        <v>500</v>
      </c>
      <c r="B196" s="4" t="s">
        <v>47</v>
      </c>
      <c r="C196" s="4">
        <v>5</v>
      </c>
      <c r="D196" s="4">
        <v>50</v>
      </c>
      <c r="E196" s="5">
        <v>0.1</v>
      </c>
      <c r="F196" s="4">
        <v>131</v>
      </c>
      <c r="G196" s="5">
        <v>4.7967777370926404E-2</v>
      </c>
    </row>
    <row r="197" spans="1:7" ht="23.05" customHeight="1">
      <c r="A197" s="4">
        <v>500</v>
      </c>
      <c r="B197" s="4" t="s">
        <v>47</v>
      </c>
      <c r="C197" s="4">
        <v>6</v>
      </c>
      <c r="D197" s="4">
        <v>50</v>
      </c>
      <c r="E197" s="5">
        <v>0.12</v>
      </c>
      <c r="F197" s="4">
        <v>96</v>
      </c>
      <c r="G197" s="5">
        <v>3.5151958989381178E-2</v>
      </c>
    </row>
    <row r="198" spans="1:7" ht="23.05" customHeight="1">
      <c r="A198" s="4">
        <v>500</v>
      </c>
      <c r="B198" s="4" t="s">
        <v>47</v>
      </c>
      <c r="C198" s="4">
        <v>7</v>
      </c>
      <c r="D198" s="4">
        <v>50</v>
      </c>
      <c r="E198" s="5">
        <v>0.14000000000000001</v>
      </c>
      <c r="F198" s="4">
        <v>106</v>
      </c>
      <c r="G198" s="5">
        <v>3.8813621384108384E-2</v>
      </c>
    </row>
    <row r="199" spans="1:7" ht="23.05" customHeight="1">
      <c r="A199" s="4">
        <v>500</v>
      </c>
      <c r="B199" s="4" t="s">
        <v>47</v>
      </c>
      <c r="C199" s="4">
        <v>8</v>
      </c>
      <c r="D199" s="4">
        <v>50</v>
      </c>
      <c r="E199" s="5">
        <v>0.16</v>
      </c>
      <c r="F199" s="4">
        <v>80</v>
      </c>
      <c r="G199" s="5">
        <v>2.929329915781765E-2</v>
      </c>
    </row>
    <row r="200" spans="1:7" ht="23.05" customHeight="1">
      <c r="A200" s="4">
        <v>500</v>
      </c>
      <c r="B200" s="4" t="s">
        <v>47</v>
      </c>
      <c r="C200" s="4">
        <v>9</v>
      </c>
      <c r="D200" s="4">
        <v>50</v>
      </c>
      <c r="E200" s="5">
        <v>0.18</v>
      </c>
      <c r="F200" s="4">
        <v>88</v>
      </c>
      <c r="G200" s="5">
        <v>3.2222629073599414E-2</v>
      </c>
    </row>
    <row r="201" spans="1:7" ht="23.05" customHeight="1">
      <c r="A201" s="4">
        <v>500</v>
      </c>
      <c r="B201" s="4" t="s">
        <v>47</v>
      </c>
      <c r="C201" s="4">
        <v>10</v>
      </c>
      <c r="D201" s="4">
        <v>50</v>
      </c>
      <c r="E201" s="5">
        <v>0.2</v>
      </c>
      <c r="F201" s="4">
        <v>100</v>
      </c>
      <c r="G201" s="5">
        <v>3.661662394727206E-2</v>
      </c>
    </row>
    <row r="202" spans="1:7" ht="23.05" customHeight="1">
      <c r="A202" s="4">
        <v>500</v>
      </c>
      <c r="B202" s="4" t="s">
        <v>47</v>
      </c>
      <c r="C202" s="4">
        <v>11</v>
      </c>
      <c r="D202" s="4">
        <v>50</v>
      </c>
      <c r="E202" s="5">
        <v>0.22</v>
      </c>
      <c r="F202" s="4">
        <v>87</v>
      </c>
      <c r="G202" s="5">
        <v>3.1856462834126693E-2</v>
      </c>
    </row>
    <row r="203" spans="1:7" ht="23.05" customHeight="1">
      <c r="A203" s="4">
        <v>500</v>
      </c>
      <c r="B203" s="4" t="s">
        <v>47</v>
      </c>
      <c r="C203" s="4">
        <v>12</v>
      </c>
      <c r="D203" s="4">
        <v>50</v>
      </c>
      <c r="E203" s="5">
        <v>0.24</v>
      </c>
      <c r="F203" s="4">
        <v>68</v>
      </c>
      <c r="G203" s="5">
        <v>2.4899304284145003E-2</v>
      </c>
    </row>
    <row r="204" spans="1:7" ht="23.05" customHeight="1">
      <c r="A204" s="4">
        <v>500</v>
      </c>
      <c r="B204" s="4" t="s">
        <v>47</v>
      </c>
      <c r="C204" s="4">
        <v>13</v>
      </c>
      <c r="D204" s="4">
        <v>50</v>
      </c>
      <c r="E204" s="5">
        <v>0.26</v>
      </c>
      <c r="F204" s="4">
        <v>64</v>
      </c>
      <c r="G204" s="5">
        <v>2.3434639326254118E-2</v>
      </c>
    </row>
    <row r="205" spans="1:7" ht="23.05" customHeight="1">
      <c r="A205" s="4">
        <v>500</v>
      </c>
      <c r="B205" s="4" t="s">
        <v>47</v>
      </c>
      <c r="C205" s="4">
        <v>14</v>
      </c>
      <c r="D205" s="4">
        <v>50</v>
      </c>
      <c r="E205" s="5">
        <v>0.28000000000000003</v>
      </c>
      <c r="F205" s="4">
        <v>84</v>
      </c>
      <c r="G205" s="5">
        <v>3.0757964115708532E-2</v>
      </c>
    </row>
    <row r="206" spans="1:7" ht="23.05" customHeight="1">
      <c r="A206" s="4">
        <v>500</v>
      </c>
      <c r="B206" s="4" t="s">
        <v>47</v>
      </c>
      <c r="C206" s="4">
        <v>15</v>
      </c>
      <c r="D206" s="4">
        <v>50</v>
      </c>
      <c r="E206" s="5">
        <v>0.3</v>
      </c>
      <c r="F206" s="4">
        <v>80</v>
      </c>
      <c r="G206" s="5">
        <v>2.929329915781765E-2</v>
      </c>
    </row>
    <row r="207" spans="1:7" ht="23.05" customHeight="1">
      <c r="A207" s="4">
        <v>500</v>
      </c>
      <c r="B207" s="4" t="s">
        <v>47</v>
      </c>
      <c r="C207" s="4">
        <v>16</v>
      </c>
      <c r="D207" s="4">
        <v>50</v>
      </c>
      <c r="E207" s="5">
        <v>0.32</v>
      </c>
      <c r="F207" s="4">
        <v>69</v>
      </c>
      <c r="G207" s="5">
        <v>2.5265470523617724E-2</v>
      </c>
    </row>
    <row r="208" spans="1:7" ht="23.05" customHeight="1">
      <c r="A208" s="4">
        <v>500</v>
      </c>
      <c r="B208" s="4" t="s">
        <v>47</v>
      </c>
      <c r="C208" s="4">
        <v>17</v>
      </c>
      <c r="D208" s="4">
        <v>50</v>
      </c>
      <c r="E208" s="5">
        <v>0.34</v>
      </c>
      <c r="F208" s="4">
        <v>49</v>
      </c>
      <c r="G208" s="5">
        <v>1.794214573416331E-2</v>
      </c>
    </row>
    <row r="209" spans="1:7" ht="23.05" customHeight="1">
      <c r="A209" s="4">
        <v>500</v>
      </c>
      <c r="B209" s="4" t="s">
        <v>47</v>
      </c>
      <c r="C209" s="4">
        <v>18</v>
      </c>
      <c r="D209" s="4">
        <v>50</v>
      </c>
      <c r="E209" s="5">
        <v>0.36</v>
      </c>
      <c r="F209" s="4">
        <v>53</v>
      </c>
      <c r="G209" s="5">
        <v>1.9406810692054192E-2</v>
      </c>
    </row>
    <row r="210" spans="1:7" ht="23.05" customHeight="1">
      <c r="A210" s="4">
        <v>500</v>
      </c>
      <c r="B210" s="4" t="s">
        <v>47</v>
      </c>
      <c r="C210" s="4">
        <v>19</v>
      </c>
      <c r="D210" s="4">
        <v>50</v>
      </c>
      <c r="E210" s="5">
        <v>0.38</v>
      </c>
      <c r="F210" s="4">
        <v>54</v>
      </c>
      <c r="G210" s="5">
        <v>1.9772976931526912E-2</v>
      </c>
    </row>
    <row r="211" spans="1:7" ht="23.05" customHeight="1">
      <c r="A211" s="4">
        <v>500</v>
      </c>
      <c r="B211" s="4" t="s">
        <v>47</v>
      </c>
      <c r="C211" s="4">
        <v>20</v>
      </c>
      <c r="D211" s="4">
        <v>50</v>
      </c>
      <c r="E211" s="5">
        <v>0.4</v>
      </c>
      <c r="F211" s="4">
        <v>45</v>
      </c>
      <c r="G211" s="5">
        <v>1.6477480776272427E-2</v>
      </c>
    </row>
    <row r="212" spans="1:7" ht="23.05" customHeight="1">
      <c r="A212" s="4">
        <v>500</v>
      </c>
      <c r="B212" s="4" t="s">
        <v>47</v>
      </c>
      <c r="C212" s="4">
        <v>21</v>
      </c>
      <c r="D212" s="4">
        <v>50</v>
      </c>
      <c r="E212" s="5">
        <v>0.42</v>
      </c>
      <c r="F212" s="4">
        <v>57</v>
      </c>
      <c r="G212" s="5">
        <v>2.0871475649945074E-2</v>
      </c>
    </row>
    <row r="213" spans="1:7" ht="23.05" customHeight="1">
      <c r="A213" s="4">
        <v>500</v>
      </c>
      <c r="B213" s="4" t="s">
        <v>47</v>
      </c>
      <c r="C213" s="4">
        <v>22</v>
      </c>
      <c r="D213" s="4">
        <v>50</v>
      </c>
      <c r="E213" s="5">
        <v>0.44</v>
      </c>
      <c r="F213" s="4">
        <v>33</v>
      </c>
      <c r="G213" s="5">
        <v>1.2083485902599781E-2</v>
      </c>
    </row>
    <row r="214" spans="1:7" ht="23.05" customHeight="1">
      <c r="A214" s="4">
        <v>500</v>
      </c>
      <c r="B214" s="4" t="s">
        <v>47</v>
      </c>
      <c r="C214" s="4">
        <v>23</v>
      </c>
      <c r="D214" s="4">
        <v>50</v>
      </c>
      <c r="E214" s="5">
        <v>0.46</v>
      </c>
      <c r="F214" s="4">
        <v>40</v>
      </c>
      <c r="G214" s="5">
        <v>1.4646649578908825E-2</v>
      </c>
    </row>
    <row r="215" spans="1:7" ht="23.05" customHeight="1">
      <c r="A215" s="4">
        <v>500</v>
      </c>
      <c r="B215" s="4" t="s">
        <v>47</v>
      </c>
      <c r="C215" s="4">
        <v>24</v>
      </c>
      <c r="D215" s="4">
        <v>50</v>
      </c>
      <c r="E215" s="5">
        <v>0.48</v>
      </c>
      <c r="F215" s="4">
        <v>30</v>
      </c>
      <c r="G215" s="5">
        <v>1.0984987184181618E-2</v>
      </c>
    </row>
    <row r="216" spans="1:7" ht="23.05" customHeight="1">
      <c r="A216" s="4">
        <v>500</v>
      </c>
      <c r="B216" s="4" t="s">
        <v>47</v>
      </c>
      <c r="C216" s="4">
        <v>25</v>
      </c>
      <c r="D216" s="4">
        <v>50</v>
      </c>
      <c r="E216" s="5">
        <v>0.5</v>
      </c>
      <c r="F216" s="4">
        <v>43</v>
      </c>
      <c r="G216" s="5">
        <v>1.5745148297326986E-2</v>
      </c>
    </row>
    <row r="217" spans="1:7" ht="23.05" customHeight="1">
      <c r="A217" s="4">
        <v>500</v>
      </c>
      <c r="B217" s="4" t="s">
        <v>47</v>
      </c>
      <c r="C217" s="4">
        <v>26</v>
      </c>
      <c r="D217" s="4">
        <v>50</v>
      </c>
      <c r="E217" s="5">
        <v>0.52</v>
      </c>
      <c r="F217" s="4">
        <v>32</v>
      </c>
      <c r="G217" s="5">
        <v>1.1717319663127059E-2</v>
      </c>
    </row>
    <row r="218" spans="1:7" ht="23.05" customHeight="1">
      <c r="A218" s="4">
        <v>500</v>
      </c>
      <c r="B218" s="4" t="s">
        <v>47</v>
      </c>
      <c r="C218" s="4">
        <v>27</v>
      </c>
      <c r="D218" s="4">
        <v>50</v>
      </c>
      <c r="E218" s="5">
        <v>0.54</v>
      </c>
      <c r="F218" s="4">
        <v>32</v>
      </c>
      <c r="G218" s="5">
        <v>1.1717319663127059E-2</v>
      </c>
    </row>
    <row r="219" spans="1:7" ht="23.05" customHeight="1">
      <c r="A219" s="4">
        <v>500</v>
      </c>
      <c r="B219" s="4" t="s">
        <v>47</v>
      </c>
      <c r="C219" s="4">
        <v>28</v>
      </c>
      <c r="D219" s="4">
        <v>50</v>
      </c>
      <c r="E219" s="5">
        <v>0.56000000000000005</v>
      </c>
      <c r="F219" s="4">
        <v>30</v>
      </c>
      <c r="G219" s="5">
        <v>1.0984987184181618E-2</v>
      </c>
    </row>
    <row r="220" spans="1:7" ht="23.05" customHeight="1">
      <c r="A220" s="4">
        <v>500</v>
      </c>
      <c r="B220" s="4" t="s">
        <v>47</v>
      </c>
      <c r="C220" s="4">
        <v>29</v>
      </c>
      <c r="D220" s="4">
        <v>50</v>
      </c>
      <c r="E220" s="5">
        <v>0.57999999999999996</v>
      </c>
      <c r="F220" s="4">
        <v>29</v>
      </c>
      <c r="G220" s="5">
        <v>1.0618820944708897E-2</v>
      </c>
    </row>
    <row r="221" spans="1:7" ht="23.05" customHeight="1">
      <c r="A221" s="4">
        <v>500</v>
      </c>
      <c r="B221" s="4" t="s">
        <v>47</v>
      </c>
      <c r="C221" s="4">
        <v>30</v>
      </c>
      <c r="D221" s="4">
        <v>50</v>
      </c>
      <c r="E221" s="5">
        <v>0.6</v>
      </c>
      <c r="F221" s="4">
        <v>36</v>
      </c>
      <c r="G221" s="5">
        <v>1.3181984621017943E-2</v>
      </c>
    </row>
    <row r="222" spans="1:7" ht="23.05" customHeight="1">
      <c r="A222" s="4">
        <v>500</v>
      </c>
      <c r="B222" s="4" t="s">
        <v>47</v>
      </c>
      <c r="C222" s="4">
        <v>31</v>
      </c>
      <c r="D222" s="4">
        <v>50</v>
      </c>
      <c r="E222" s="5">
        <v>0.62</v>
      </c>
      <c r="F222" s="4">
        <v>35</v>
      </c>
      <c r="G222" s="5">
        <v>1.2815818381545222E-2</v>
      </c>
    </row>
    <row r="223" spans="1:7" ht="23.05" customHeight="1">
      <c r="A223" s="4">
        <v>500</v>
      </c>
      <c r="B223" s="4" t="s">
        <v>47</v>
      </c>
      <c r="C223" s="4">
        <v>32</v>
      </c>
      <c r="D223" s="4">
        <v>50</v>
      </c>
      <c r="E223" s="5">
        <v>0.64</v>
      </c>
      <c r="F223" s="4">
        <v>34</v>
      </c>
      <c r="G223" s="5">
        <v>1.2449652142072502E-2</v>
      </c>
    </row>
    <row r="224" spans="1:7" ht="23.05" customHeight="1">
      <c r="A224" s="4">
        <v>500</v>
      </c>
      <c r="B224" s="4" t="s">
        <v>47</v>
      </c>
      <c r="C224" s="4">
        <v>33</v>
      </c>
      <c r="D224" s="4">
        <v>50</v>
      </c>
      <c r="E224" s="5">
        <v>0.66</v>
      </c>
      <c r="F224" s="4">
        <v>40</v>
      </c>
      <c r="G224" s="5">
        <v>1.4646649578908825E-2</v>
      </c>
    </row>
    <row r="225" spans="1:7" ht="23.05" customHeight="1">
      <c r="A225" s="4">
        <v>500</v>
      </c>
      <c r="B225" s="4" t="s">
        <v>47</v>
      </c>
      <c r="C225" s="4">
        <v>34</v>
      </c>
      <c r="D225" s="4">
        <v>50</v>
      </c>
      <c r="E225" s="5">
        <v>0.68</v>
      </c>
      <c r="F225" s="4">
        <v>31</v>
      </c>
      <c r="G225" s="5">
        <v>1.1351153423654338E-2</v>
      </c>
    </row>
    <row r="226" spans="1:7" ht="23.05" customHeight="1">
      <c r="A226" s="4">
        <v>500</v>
      </c>
      <c r="B226" s="4" t="s">
        <v>47</v>
      </c>
      <c r="C226" s="4">
        <v>35</v>
      </c>
      <c r="D226" s="4">
        <v>50</v>
      </c>
      <c r="E226" s="5">
        <v>0.7</v>
      </c>
      <c r="F226" s="4">
        <v>19</v>
      </c>
      <c r="G226" s="5">
        <v>6.9571585499816919E-3</v>
      </c>
    </row>
    <row r="227" spans="1:7" ht="23.05" customHeight="1">
      <c r="A227" s="4">
        <v>500</v>
      </c>
      <c r="B227" s="4" t="s">
        <v>47</v>
      </c>
      <c r="C227" s="4">
        <v>36</v>
      </c>
      <c r="D227" s="4">
        <v>50</v>
      </c>
      <c r="E227" s="5">
        <v>0.72</v>
      </c>
      <c r="F227" s="4">
        <v>27</v>
      </c>
      <c r="G227" s="5">
        <v>9.8864884657634561E-3</v>
      </c>
    </row>
    <row r="228" spans="1:7" ht="23.05" customHeight="1">
      <c r="A228" s="4">
        <v>500</v>
      </c>
      <c r="B228" s="4" t="s">
        <v>47</v>
      </c>
      <c r="C228" s="4">
        <v>37</v>
      </c>
      <c r="D228" s="4">
        <v>50</v>
      </c>
      <c r="E228" s="5">
        <v>0.74</v>
      </c>
      <c r="F228" s="4">
        <v>18</v>
      </c>
      <c r="G228" s="5">
        <v>6.5909923105089713E-3</v>
      </c>
    </row>
    <row r="229" spans="1:7" ht="23.05" customHeight="1">
      <c r="A229" s="4">
        <v>500</v>
      </c>
      <c r="B229" s="4" t="s">
        <v>47</v>
      </c>
      <c r="C229" s="4">
        <v>38</v>
      </c>
      <c r="D229" s="4">
        <v>50</v>
      </c>
      <c r="E229" s="5">
        <v>0.76</v>
      </c>
      <c r="F229" s="4">
        <v>16</v>
      </c>
      <c r="G229" s="5">
        <v>5.8586598315635294E-3</v>
      </c>
    </row>
    <row r="230" spans="1:7" ht="23.05" customHeight="1">
      <c r="A230" s="4">
        <v>500</v>
      </c>
      <c r="B230" s="4" t="s">
        <v>47</v>
      </c>
      <c r="C230" s="4">
        <v>39</v>
      </c>
      <c r="D230" s="4">
        <v>50</v>
      </c>
      <c r="E230" s="5">
        <v>0.78</v>
      </c>
      <c r="F230" s="4">
        <v>15</v>
      </c>
      <c r="G230" s="5">
        <v>5.4924935920908089E-3</v>
      </c>
    </row>
    <row r="231" spans="1:7" ht="23.05" customHeight="1">
      <c r="A231" s="4">
        <v>500</v>
      </c>
      <c r="B231" s="4" t="s">
        <v>47</v>
      </c>
      <c r="C231" s="4">
        <v>40</v>
      </c>
      <c r="D231" s="4">
        <v>50</v>
      </c>
      <c r="E231" s="5">
        <v>0.8</v>
      </c>
      <c r="F231" s="4">
        <v>21</v>
      </c>
      <c r="G231" s="5">
        <v>7.6894910289271329E-3</v>
      </c>
    </row>
    <row r="232" spans="1:7" ht="23.05" customHeight="1">
      <c r="A232" s="4">
        <v>500</v>
      </c>
      <c r="B232" s="4" t="s">
        <v>47</v>
      </c>
      <c r="C232" s="4">
        <v>41</v>
      </c>
      <c r="D232" s="4">
        <v>50</v>
      </c>
      <c r="E232" s="5">
        <v>0.82</v>
      </c>
      <c r="F232" s="4">
        <v>22</v>
      </c>
      <c r="G232" s="5">
        <v>8.0556572683998535E-3</v>
      </c>
    </row>
    <row r="233" spans="1:7" ht="23.05" customHeight="1">
      <c r="A233" s="4">
        <v>500</v>
      </c>
      <c r="B233" s="4" t="s">
        <v>47</v>
      </c>
      <c r="C233" s="4">
        <v>42</v>
      </c>
      <c r="D233" s="4">
        <v>50</v>
      </c>
      <c r="E233" s="5">
        <v>0.84</v>
      </c>
      <c r="F233" s="4">
        <v>14</v>
      </c>
      <c r="G233" s="5">
        <v>5.1263273526180883E-3</v>
      </c>
    </row>
    <row r="234" spans="1:7" ht="23.05" customHeight="1">
      <c r="A234" s="4">
        <v>500</v>
      </c>
      <c r="B234" s="4" t="s">
        <v>47</v>
      </c>
      <c r="C234" s="4">
        <v>43</v>
      </c>
      <c r="D234" s="4">
        <v>50</v>
      </c>
      <c r="E234" s="5">
        <v>0.86</v>
      </c>
      <c r="F234" s="4">
        <v>11</v>
      </c>
      <c r="G234" s="5">
        <v>4.0278286341999267E-3</v>
      </c>
    </row>
    <row r="235" spans="1:7" ht="23.05" customHeight="1">
      <c r="A235" s="4">
        <v>500</v>
      </c>
      <c r="B235" s="4" t="s">
        <v>47</v>
      </c>
      <c r="C235" s="4">
        <v>44</v>
      </c>
      <c r="D235" s="4">
        <v>50</v>
      </c>
      <c r="E235" s="5">
        <v>0.88</v>
      </c>
      <c r="F235" s="4">
        <v>13</v>
      </c>
      <c r="G235" s="5">
        <v>4.7601611131453678E-3</v>
      </c>
    </row>
    <row r="236" spans="1:7" ht="23.05" customHeight="1">
      <c r="A236" s="4">
        <v>500</v>
      </c>
      <c r="B236" s="4" t="s">
        <v>47</v>
      </c>
      <c r="C236" s="4">
        <v>45</v>
      </c>
      <c r="D236" s="4">
        <v>50</v>
      </c>
      <c r="E236" s="5">
        <v>0.9</v>
      </c>
      <c r="F236" s="4">
        <v>15</v>
      </c>
      <c r="G236" s="5">
        <v>5.4924935920908089E-3</v>
      </c>
    </row>
    <row r="237" spans="1:7" ht="23.05" customHeight="1">
      <c r="A237" s="4">
        <v>500</v>
      </c>
      <c r="B237" s="4" t="s">
        <v>47</v>
      </c>
      <c r="C237" s="4">
        <v>46</v>
      </c>
      <c r="D237" s="4">
        <v>50</v>
      </c>
      <c r="E237" s="5">
        <v>0.92</v>
      </c>
      <c r="F237" s="4">
        <v>14</v>
      </c>
      <c r="G237" s="5">
        <v>5.1263273526180883E-3</v>
      </c>
    </row>
    <row r="238" spans="1:7" ht="23.05" customHeight="1">
      <c r="A238" s="4">
        <v>500</v>
      </c>
      <c r="B238" s="4" t="s">
        <v>47</v>
      </c>
      <c r="C238" s="4">
        <v>47</v>
      </c>
      <c r="D238" s="4">
        <v>50</v>
      </c>
      <c r="E238" s="5">
        <v>0.94</v>
      </c>
      <c r="F238" s="4">
        <v>11</v>
      </c>
      <c r="G238" s="5">
        <v>4.0278286341999267E-3</v>
      </c>
    </row>
    <row r="239" spans="1:7" ht="23.05" customHeight="1">
      <c r="A239" s="4">
        <v>500</v>
      </c>
      <c r="B239" s="4" t="s">
        <v>47</v>
      </c>
      <c r="C239" s="4">
        <v>48</v>
      </c>
      <c r="D239" s="4">
        <v>50</v>
      </c>
      <c r="E239" s="5">
        <v>0.96</v>
      </c>
      <c r="F239" s="4">
        <v>14</v>
      </c>
      <c r="G239" s="5">
        <v>5.1263273526180883E-3</v>
      </c>
    </row>
    <row r="240" spans="1:7" ht="23.05" customHeight="1">
      <c r="A240" s="4">
        <v>500</v>
      </c>
      <c r="B240" s="4" t="s">
        <v>47</v>
      </c>
      <c r="C240" s="4">
        <v>49</v>
      </c>
      <c r="D240" s="4">
        <v>50</v>
      </c>
      <c r="E240" s="5">
        <v>0.98</v>
      </c>
      <c r="F240" s="4">
        <v>15</v>
      </c>
      <c r="G240" s="5">
        <v>5.4924935920908089E-3</v>
      </c>
    </row>
    <row r="241" spans="1:7" ht="23.05" customHeight="1">
      <c r="A241" s="4">
        <v>500</v>
      </c>
      <c r="B241" s="4" t="s">
        <v>47</v>
      </c>
      <c r="C241" s="4">
        <v>50</v>
      </c>
      <c r="D241" s="4">
        <v>50</v>
      </c>
      <c r="E241" s="5">
        <v>1</v>
      </c>
      <c r="F241" s="4">
        <v>169</v>
      </c>
      <c r="G241" s="5">
        <v>6.1882094470889784E-2</v>
      </c>
    </row>
    <row r="242" spans="1:7" ht="23.05" customHeight="1">
      <c r="A242" s="4">
        <v>1000</v>
      </c>
      <c r="B242" s="4" t="s">
        <v>46</v>
      </c>
      <c r="C242" s="4">
        <v>1</v>
      </c>
      <c r="D242" s="4">
        <v>100</v>
      </c>
      <c r="E242" s="5">
        <v>0.01</v>
      </c>
      <c r="F242" s="4">
        <v>676</v>
      </c>
      <c r="G242" s="5">
        <v>0.63295880149812733</v>
      </c>
    </row>
    <row r="243" spans="1:7" ht="23.05" customHeight="1">
      <c r="A243" s="4">
        <v>1000</v>
      </c>
      <c r="B243" s="4" t="s">
        <v>46</v>
      </c>
      <c r="C243" s="4">
        <v>2</v>
      </c>
      <c r="D243" s="4">
        <v>100</v>
      </c>
      <c r="E243" s="5">
        <v>0.02</v>
      </c>
      <c r="F243" s="4">
        <v>50</v>
      </c>
      <c r="G243" s="5">
        <v>4.6816479400749067E-2</v>
      </c>
    </row>
    <row r="244" spans="1:7" ht="23.05" customHeight="1">
      <c r="A244" s="4">
        <v>1000</v>
      </c>
      <c r="B244" s="4" t="s">
        <v>46</v>
      </c>
      <c r="C244" s="4">
        <v>3</v>
      </c>
      <c r="D244" s="4">
        <v>100</v>
      </c>
      <c r="E244" s="5">
        <v>0.03</v>
      </c>
      <c r="F244" s="4">
        <v>15</v>
      </c>
      <c r="G244" s="5">
        <v>1.4044943820224719E-2</v>
      </c>
    </row>
    <row r="245" spans="1:7" ht="23.05" customHeight="1">
      <c r="A245" s="4">
        <v>1000</v>
      </c>
      <c r="B245" s="4" t="s">
        <v>46</v>
      </c>
      <c r="C245" s="4">
        <v>4</v>
      </c>
      <c r="D245" s="4">
        <v>100</v>
      </c>
      <c r="E245" s="5">
        <v>0.04</v>
      </c>
      <c r="F245" s="4">
        <v>9</v>
      </c>
      <c r="G245" s="5">
        <v>8.4269662921348312E-3</v>
      </c>
    </row>
    <row r="246" spans="1:7" ht="23.05" customHeight="1">
      <c r="A246" s="4">
        <v>1000</v>
      </c>
      <c r="B246" s="4" t="s">
        <v>46</v>
      </c>
      <c r="C246" s="4">
        <v>5</v>
      </c>
      <c r="D246" s="4">
        <v>100</v>
      </c>
      <c r="E246" s="5">
        <v>0.05</v>
      </c>
      <c r="F246" s="4">
        <v>2</v>
      </c>
      <c r="G246" s="5">
        <v>1.8726591760299626E-3</v>
      </c>
    </row>
    <row r="247" spans="1:7" ht="23.05" customHeight="1">
      <c r="A247" s="4">
        <v>1000</v>
      </c>
      <c r="B247" s="4" t="s">
        <v>46</v>
      </c>
      <c r="C247" s="4">
        <v>6</v>
      </c>
      <c r="D247" s="4">
        <v>100</v>
      </c>
      <c r="E247" s="5">
        <v>0.06</v>
      </c>
      <c r="F247" s="4">
        <v>93</v>
      </c>
      <c r="G247" s="5">
        <v>8.7078651685393263E-2</v>
      </c>
    </row>
    <row r="248" spans="1:7" ht="23.05" customHeight="1">
      <c r="A248" s="4">
        <v>1000</v>
      </c>
      <c r="B248" s="4" t="s">
        <v>46</v>
      </c>
      <c r="C248" s="4">
        <v>7</v>
      </c>
      <c r="D248" s="4">
        <v>100</v>
      </c>
      <c r="E248" s="5">
        <v>7.0000000000000007E-2</v>
      </c>
      <c r="F248" s="4">
        <v>7</v>
      </c>
      <c r="G248" s="5">
        <v>6.5543071161048693E-3</v>
      </c>
    </row>
    <row r="249" spans="1:7" ht="23.05" customHeight="1">
      <c r="A249" s="4">
        <v>1000</v>
      </c>
      <c r="B249" s="4" t="s">
        <v>46</v>
      </c>
      <c r="C249" s="4">
        <v>8</v>
      </c>
      <c r="D249" s="4">
        <v>100</v>
      </c>
      <c r="E249" s="5">
        <v>0.08</v>
      </c>
      <c r="F249" s="4">
        <v>3</v>
      </c>
      <c r="G249" s="5">
        <v>2.8089887640449437E-3</v>
      </c>
    </row>
    <row r="250" spans="1:7" ht="23.05" customHeight="1">
      <c r="A250" s="4">
        <v>1000</v>
      </c>
      <c r="B250" s="4" t="s">
        <v>46</v>
      </c>
      <c r="C250" s="4">
        <v>9</v>
      </c>
      <c r="D250" s="4">
        <v>100</v>
      </c>
      <c r="E250" s="5">
        <v>0.09</v>
      </c>
      <c r="F250" s="4">
        <v>2</v>
      </c>
      <c r="G250" s="5">
        <v>1.8726591760299626E-3</v>
      </c>
    </row>
    <row r="251" spans="1:7" ht="23.05" customHeight="1">
      <c r="A251" s="4">
        <v>1000</v>
      </c>
      <c r="B251" s="4" t="s">
        <v>46</v>
      </c>
      <c r="C251" s="4">
        <v>10</v>
      </c>
      <c r="D251" s="4">
        <v>100</v>
      </c>
      <c r="E251" s="5">
        <v>0.1</v>
      </c>
      <c r="F251" s="4">
        <v>1</v>
      </c>
      <c r="G251" s="5">
        <v>9.3632958801498128E-4</v>
      </c>
    </row>
    <row r="252" spans="1:7" ht="23.05" customHeight="1">
      <c r="A252" s="4">
        <v>1000</v>
      </c>
      <c r="B252" s="4" t="s">
        <v>46</v>
      </c>
      <c r="C252" s="4">
        <v>11</v>
      </c>
      <c r="D252" s="4">
        <v>100</v>
      </c>
      <c r="E252" s="5">
        <v>0.11</v>
      </c>
      <c r="F252" s="4">
        <v>2</v>
      </c>
      <c r="G252" s="5">
        <v>1.8726591760299626E-3</v>
      </c>
    </row>
    <row r="253" spans="1:7" ht="23.05" customHeight="1">
      <c r="A253" s="4">
        <v>1000</v>
      </c>
      <c r="B253" s="4" t="s">
        <v>46</v>
      </c>
      <c r="C253" s="4">
        <v>12</v>
      </c>
      <c r="D253" s="4">
        <v>100</v>
      </c>
      <c r="E253" s="5">
        <v>0.12</v>
      </c>
      <c r="F253" s="4">
        <v>2</v>
      </c>
      <c r="G253" s="5">
        <v>1.8726591760299626E-3</v>
      </c>
    </row>
    <row r="254" spans="1:7" ht="23.05" customHeight="1">
      <c r="A254" s="4">
        <v>1000</v>
      </c>
      <c r="B254" s="4" t="s">
        <v>46</v>
      </c>
      <c r="C254" s="4">
        <v>13</v>
      </c>
      <c r="D254" s="4">
        <v>100</v>
      </c>
      <c r="E254" s="5">
        <v>0.13</v>
      </c>
      <c r="F254" s="4">
        <v>1</v>
      </c>
      <c r="G254" s="5">
        <v>9.3632958801498128E-4</v>
      </c>
    </row>
    <row r="255" spans="1:7" ht="23.05" customHeight="1">
      <c r="A255" s="4">
        <v>1000</v>
      </c>
      <c r="B255" s="4" t="s">
        <v>46</v>
      </c>
      <c r="C255" s="4">
        <v>14</v>
      </c>
      <c r="D255" s="4">
        <v>100</v>
      </c>
      <c r="E255" s="5">
        <v>0.14000000000000001</v>
      </c>
      <c r="F255" s="4">
        <v>3</v>
      </c>
      <c r="G255" s="5">
        <v>2.8089887640449437E-3</v>
      </c>
    </row>
    <row r="256" spans="1:7" ht="23.05" customHeight="1">
      <c r="A256" s="4">
        <v>1000</v>
      </c>
      <c r="B256" s="4" t="s">
        <v>46</v>
      </c>
      <c r="C256" s="4">
        <v>15</v>
      </c>
      <c r="D256" s="4">
        <v>100</v>
      </c>
      <c r="E256" s="5">
        <v>0.15</v>
      </c>
      <c r="F256" s="4">
        <v>12</v>
      </c>
      <c r="G256" s="5">
        <v>1.1235955056179775E-2</v>
      </c>
    </row>
    <row r="257" spans="1:7" ht="23.05" customHeight="1">
      <c r="A257" s="4">
        <v>1000</v>
      </c>
      <c r="B257" s="4" t="s">
        <v>46</v>
      </c>
      <c r="C257" s="4">
        <v>16</v>
      </c>
      <c r="D257" s="4">
        <v>100</v>
      </c>
      <c r="E257" s="5">
        <v>0.16</v>
      </c>
      <c r="F257" s="4">
        <v>16</v>
      </c>
      <c r="G257" s="5">
        <v>1.4981273408239701E-2</v>
      </c>
    </row>
    <row r="258" spans="1:7" ht="23.05" customHeight="1">
      <c r="A258" s="4">
        <v>1000</v>
      </c>
      <c r="B258" s="4" t="s">
        <v>46</v>
      </c>
      <c r="C258" s="4">
        <v>17</v>
      </c>
      <c r="D258" s="4">
        <v>100</v>
      </c>
      <c r="E258" s="5">
        <v>0.17</v>
      </c>
      <c r="F258" s="4">
        <v>3</v>
      </c>
      <c r="G258" s="5">
        <v>2.8089887640449437E-3</v>
      </c>
    </row>
    <row r="259" spans="1:7" ht="23.05" customHeight="1">
      <c r="A259" s="4">
        <v>1000</v>
      </c>
      <c r="B259" s="4" t="s">
        <v>46</v>
      </c>
      <c r="C259" s="4">
        <v>18</v>
      </c>
      <c r="D259" s="4">
        <v>100</v>
      </c>
      <c r="E259" s="5">
        <v>0.18</v>
      </c>
      <c r="F259" s="4">
        <v>2</v>
      </c>
      <c r="G259" s="5">
        <v>1.8726591760299626E-3</v>
      </c>
    </row>
    <row r="260" spans="1:7" ht="23.05" customHeight="1">
      <c r="A260" s="4">
        <v>1000</v>
      </c>
      <c r="B260" s="4" t="s">
        <v>46</v>
      </c>
      <c r="C260" s="4">
        <v>20</v>
      </c>
      <c r="D260" s="4">
        <v>100</v>
      </c>
      <c r="E260" s="5">
        <v>0.2</v>
      </c>
      <c r="F260" s="4">
        <v>1</v>
      </c>
      <c r="G260" s="5">
        <v>9.3632958801498128E-4</v>
      </c>
    </row>
    <row r="261" spans="1:7" ht="23.05" customHeight="1">
      <c r="A261" s="4">
        <v>1000</v>
      </c>
      <c r="B261" s="4" t="s">
        <v>46</v>
      </c>
      <c r="C261" s="4">
        <v>23</v>
      </c>
      <c r="D261" s="4">
        <v>100</v>
      </c>
      <c r="E261" s="5">
        <v>0.23</v>
      </c>
      <c r="F261" s="4">
        <v>1</v>
      </c>
      <c r="G261" s="5">
        <v>9.3632958801498128E-4</v>
      </c>
    </row>
    <row r="262" spans="1:7" ht="23.05" customHeight="1">
      <c r="A262" s="4">
        <v>1000</v>
      </c>
      <c r="B262" s="4" t="s">
        <v>46</v>
      </c>
      <c r="C262" s="4">
        <v>24</v>
      </c>
      <c r="D262" s="4">
        <v>100</v>
      </c>
      <c r="E262" s="5">
        <v>0.24</v>
      </c>
      <c r="F262" s="4">
        <v>1</v>
      </c>
      <c r="G262" s="5">
        <v>9.3632958801498128E-4</v>
      </c>
    </row>
    <row r="263" spans="1:7" ht="23.05" customHeight="1">
      <c r="A263" s="4">
        <v>1000</v>
      </c>
      <c r="B263" s="4" t="s">
        <v>46</v>
      </c>
      <c r="C263" s="4">
        <v>27</v>
      </c>
      <c r="D263" s="4">
        <v>100</v>
      </c>
      <c r="E263" s="5">
        <v>0.27</v>
      </c>
      <c r="F263" s="4">
        <v>1</v>
      </c>
      <c r="G263" s="5">
        <v>9.3632958801498128E-4</v>
      </c>
    </row>
    <row r="264" spans="1:7" ht="23.05" customHeight="1">
      <c r="A264" s="4">
        <v>1000</v>
      </c>
      <c r="B264" s="4" t="s">
        <v>46</v>
      </c>
      <c r="C264" s="4">
        <v>32</v>
      </c>
      <c r="D264" s="4">
        <v>100</v>
      </c>
      <c r="E264" s="5">
        <v>0.32</v>
      </c>
      <c r="F264" s="4">
        <v>1</v>
      </c>
      <c r="G264" s="5">
        <v>9.3632958801498128E-4</v>
      </c>
    </row>
    <row r="265" spans="1:7" ht="23.05" customHeight="1">
      <c r="A265" s="4">
        <v>1000</v>
      </c>
      <c r="B265" s="4" t="s">
        <v>46</v>
      </c>
      <c r="C265" s="4">
        <v>33</v>
      </c>
      <c r="D265" s="4">
        <v>100</v>
      </c>
      <c r="E265" s="5">
        <v>0.33</v>
      </c>
      <c r="F265" s="4">
        <v>1</v>
      </c>
      <c r="G265" s="5">
        <v>9.3632958801498128E-4</v>
      </c>
    </row>
    <row r="266" spans="1:7" ht="23.05" customHeight="1">
      <c r="A266" s="4">
        <v>1000</v>
      </c>
      <c r="B266" s="4" t="s">
        <v>46</v>
      </c>
      <c r="C266" s="4">
        <v>36</v>
      </c>
      <c r="D266" s="4">
        <v>100</v>
      </c>
      <c r="E266" s="5">
        <v>0.36</v>
      </c>
      <c r="F266" s="4">
        <v>1</v>
      </c>
      <c r="G266" s="5">
        <v>9.3632958801498128E-4</v>
      </c>
    </row>
    <row r="267" spans="1:7" ht="23.05" customHeight="1">
      <c r="A267" s="4">
        <v>1000</v>
      </c>
      <c r="B267" s="4" t="s">
        <v>46</v>
      </c>
      <c r="C267" s="4">
        <v>42</v>
      </c>
      <c r="D267" s="4">
        <v>100</v>
      </c>
      <c r="E267" s="5">
        <v>0.42</v>
      </c>
      <c r="F267" s="4">
        <v>1</v>
      </c>
      <c r="G267" s="5">
        <v>9.3632958801498128E-4</v>
      </c>
    </row>
    <row r="268" spans="1:7" ht="23.05" customHeight="1">
      <c r="A268" s="4">
        <v>1000</v>
      </c>
      <c r="B268" s="4" t="s">
        <v>46</v>
      </c>
      <c r="C268" s="4">
        <v>50</v>
      </c>
      <c r="D268" s="4">
        <v>100</v>
      </c>
      <c r="E268" s="5">
        <v>0.5</v>
      </c>
      <c r="F268" s="4">
        <v>1</v>
      </c>
      <c r="G268" s="5">
        <v>9.3632958801498128E-4</v>
      </c>
    </row>
    <row r="269" spans="1:7" ht="23.05" customHeight="1">
      <c r="A269" s="4">
        <v>1000</v>
      </c>
      <c r="B269" s="4" t="s">
        <v>46</v>
      </c>
      <c r="C269" s="4">
        <v>52</v>
      </c>
      <c r="D269" s="4">
        <v>100</v>
      </c>
      <c r="E269" s="5">
        <v>0.52</v>
      </c>
      <c r="F269" s="4">
        <v>8</v>
      </c>
      <c r="G269" s="5">
        <v>7.4906367041198503E-3</v>
      </c>
    </row>
    <row r="270" spans="1:7" ht="23.05" customHeight="1">
      <c r="A270" s="4">
        <v>1000</v>
      </c>
      <c r="B270" s="4" t="s">
        <v>46</v>
      </c>
      <c r="C270" s="4">
        <v>53</v>
      </c>
      <c r="D270" s="4">
        <v>100</v>
      </c>
      <c r="E270" s="5">
        <v>0.53</v>
      </c>
      <c r="F270" s="4">
        <v>2</v>
      </c>
      <c r="G270" s="5">
        <v>1.8726591760299626E-3</v>
      </c>
    </row>
    <row r="271" spans="1:7" ht="23.05" customHeight="1">
      <c r="A271" s="4">
        <v>1000</v>
      </c>
      <c r="B271" s="4" t="s">
        <v>46</v>
      </c>
      <c r="C271" s="4">
        <v>60</v>
      </c>
      <c r="D271" s="4">
        <v>100</v>
      </c>
      <c r="E271" s="5">
        <v>0.6</v>
      </c>
      <c r="F271" s="4">
        <v>1</v>
      </c>
      <c r="G271" s="5">
        <v>9.3632958801498128E-4</v>
      </c>
    </row>
    <row r="272" spans="1:7" ht="23.05" customHeight="1">
      <c r="A272" s="4">
        <v>1000</v>
      </c>
      <c r="B272" s="4" t="s">
        <v>46</v>
      </c>
      <c r="C272" s="4">
        <v>63</v>
      </c>
      <c r="D272" s="4">
        <v>100</v>
      </c>
      <c r="E272" s="5">
        <v>0.63</v>
      </c>
      <c r="F272" s="4">
        <v>1</v>
      </c>
      <c r="G272" s="5">
        <v>9.3632958801498128E-4</v>
      </c>
    </row>
    <row r="273" spans="1:7" ht="23.05" customHeight="1">
      <c r="A273" s="4">
        <v>1000</v>
      </c>
      <c r="B273" s="4" t="s">
        <v>46</v>
      </c>
      <c r="C273" s="4">
        <v>66</v>
      </c>
      <c r="D273" s="4">
        <v>100</v>
      </c>
      <c r="E273" s="5">
        <v>0.66</v>
      </c>
      <c r="F273" s="4">
        <v>2</v>
      </c>
      <c r="G273" s="5">
        <v>1.8726591760299626E-3</v>
      </c>
    </row>
    <row r="274" spans="1:7" ht="23.05" customHeight="1">
      <c r="A274" s="4">
        <v>1000</v>
      </c>
      <c r="B274" s="4" t="s">
        <v>46</v>
      </c>
      <c r="C274" s="4">
        <v>69</v>
      </c>
      <c r="D274" s="4">
        <v>100</v>
      </c>
      <c r="E274" s="5">
        <v>0.69</v>
      </c>
      <c r="F274" s="4">
        <v>1</v>
      </c>
      <c r="G274" s="5">
        <v>9.3632958801498128E-4</v>
      </c>
    </row>
    <row r="275" spans="1:7" ht="23.05" customHeight="1">
      <c r="A275" s="4">
        <v>1000</v>
      </c>
      <c r="B275" s="4" t="s">
        <v>46</v>
      </c>
      <c r="C275" s="4">
        <v>70</v>
      </c>
      <c r="D275" s="4">
        <v>100</v>
      </c>
      <c r="E275" s="5">
        <v>0.7</v>
      </c>
      <c r="F275" s="4">
        <v>4</v>
      </c>
      <c r="G275" s="5">
        <v>3.7453183520599251E-3</v>
      </c>
    </row>
    <row r="276" spans="1:7" ht="23.05" customHeight="1">
      <c r="A276" s="4">
        <v>1000</v>
      </c>
      <c r="B276" s="4" t="s">
        <v>46</v>
      </c>
      <c r="C276" s="4">
        <v>71</v>
      </c>
      <c r="D276" s="4">
        <v>100</v>
      </c>
      <c r="E276" s="5">
        <v>0.71</v>
      </c>
      <c r="F276" s="4">
        <v>4</v>
      </c>
      <c r="G276" s="5">
        <v>3.7453183520599251E-3</v>
      </c>
    </row>
    <row r="277" spans="1:7" ht="23.05" customHeight="1">
      <c r="A277" s="4">
        <v>1000</v>
      </c>
      <c r="B277" s="4" t="s">
        <v>46</v>
      </c>
      <c r="C277" s="4">
        <v>72</v>
      </c>
      <c r="D277" s="4">
        <v>100</v>
      </c>
      <c r="E277" s="5">
        <v>0.72</v>
      </c>
      <c r="F277" s="4">
        <v>2</v>
      </c>
      <c r="G277" s="5">
        <v>1.8726591760299626E-3</v>
      </c>
    </row>
    <row r="278" spans="1:7" ht="23.05" customHeight="1">
      <c r="A278" s="4">
        <v>1000</v>
      </c>
      <c r="B278" s="4" t="s">
        <v>46</v>
      </c>
      <c r="C278" s="4">
        <v>73</v>
      </c>
      <c r="D278" s="4">
        <v>100</v>
      </c>
      <c r="E278" s="5">
        <v>0.73</v>
      </c>
      <c r="F278" s="4">
        <v>1</v>
      </c>
      <c r="G278" s="5">
        <v>9.3632958801498128E-4</v>
      </c>
    </row>
    <row r="279" spans="1:7" ht="23.05" customHeight="1">
      <c r="A279" s="4">
        <v>1000</v>
      </c>
      <c r="B279" s="4" t="s">
        <v>46</v>
      </c>
      <c r="C279" s="4">
        <v>74</v>
      </c>
      <c r="D279" s="4">
        <v>100</v>
      </c>
      <c r="E279" s="5">
        <v>0.74</v>
      </c>
      <c r="F279" s="4">
        <v>1</v>
      </c>
      <c r="G279" s="5">
        <v>9.3632958801498128E-4</v>
      </c>
    </row>
    <row r="280" spans="1:7" ht="23.05" customHeight="1">
      <c r="A280" s="4">
        <v>1000</v>
      </c>
      <c r="B280" s="4" t="s">
        <v>46</v>
      </c>
      <c r="C280" s="4">
        <v>75</v>
      </c>
      <c r="D280" s="4">
        <v>100</v>
      </c>
      <c r="E280" s="5">
        <v>0.75</v>
      </c>
      <c r="F280" s="4">
        <v>3</v>
      </c>
      <c r="G280" s="5">
        <v>2.8089887640449437E-3</v>
      </c>
    </row>
    <row r="281" spans="1:7" ht="23.05" customHeight="1">
      <c r="A281" s="4">
        <v>1000</v>
      </c>
      <c r="B281" s="4" t="s">
        <v>46</v>
      </c>
      <c r="C281" s="4">
        <v>76</v>
      </c>
      <c r="D281" s="4">
        <v>100</v>
      </c>
      <c r="E281" s="5">
        <v>0.76</v>
      </c>
      <c r="F281" s="4">
        <v>3</v>
      </c>
      <c r="G281" s="5">
        <v>2.8089887640449437E-3</v>
      </c>
    </row>
    <row r="282" spans="1:7" ht="23.05" customHeight="1">
      <c r="A282" s="4">
        <v>1000</v>
      </c>
      <c r="B282" s="4" t="s">
        <v>46</v>
      </c>
      <c r="C282" s="4">
        <v>77</v>
      </c>
      <c r="D282" s="4">
        <v>100</v>
      </c>
      <c r="E282" s="5">
        <v>0.77</v>
      </c>
      <c r="F282" s="4">
        <v>3</v>
      </c>
      <c r="G282" s="5">
        <v>2.8089887640449437E-3</v>
      </c>
    </row>
    <row r="283" spans="1:7" ht="23.05" customHeight="1">
      <c r="A283" s="4">
        <v>1000</v>
      </c>
      <c r="B283" s="4" t="s">
        <v>46</v>
      </c>
      <c r="C283" s="4">
        <v>86</v>
      </c>
      <c r="D283" s="4">
        <v>100</v>
      </c>
      <c r="E283" s="5">
        <v>0.86</v>
      </c>
      <c r="F283" s="4">
        <v>1</v>
      </c>
      <c r="G283" s="5">
        <v>9.3632958801498128E-4</v>
      </c>
    </row>
    <row r="284" spans="1:7" ht="23.05" customHeight="1">
      <c r="A284" s="4">
        <v>1000</v>
      </c>
      <c r="B284" s="4" t="s">
        <v>46</v>
      </c>
      <c r="C284" s="4">
        <v>87</v>
      </c>
      <c r="D284" s="4">
        <v>100</v>
      </c>
      <c r="E284" s="5">
        <v>0.87</v>
      </c>
      <c r="F284" s="4">
        <v>4</v>
      </c>
      <c r="G284" s="5">
        <v>3.7453183520599251E-3</v>
      </c>
    </row>
    <row r="285" spans="1:7" ht="23.05" customHeight="1">
      <c r="A285" s="4">
        <v>1000</v>
      </c>
      <c r="B285" s="4" t="s">
        <v>46</v>
      </c>
      <c r="C285" s="4">
        <v>88</v>
      </c>
      <c r="D285" s="4">
        <v>100</v>
      </c>
      <c r="E285" s="5">
        <v>0.88</v>
      </c>
      <c r="F285" s="4">
        <v>6</v>
      </c>
      <c r="G285" s="5">
        <v>5.6179775280898875E-3</v>
      </c>
    </row>
    <row r="286" spans="1:7" ht="23.05" customHeight="1">
      <c r="A286" s="4">
        <v>1000</v>
      </c>
      <c r="B286" s="4" t="s">
        <v>46</v>
      </c>
      <c r="C286" s="4">
        <v>96</v>
      </c>
      <c r="D286" s="4">
        <v>100</v>
      </c>
      <c r="E286" s="5">
        <v>0.96</v>
      </c>
      <c r="F286" s="4">
        <v>11</v>
      </c>
      <c r="G286" s="5">
        <v>1.0299625468164793E-2</v>
      </c>
    </row>
    <row r="287" spans="1:7" ht="23.05" customHeight="1">
      <c r="A287" s="4">
        <v>1000</v>
      </c>
      <c r="B287" s="4" t="s">
        <v>46</v>
      </c>
      <c r="C287" s="4">
        <v>97</v>
      </c>
      <c r="D287" s="4">
        <v>100</v>
      </c>
      <c r="E287" s="5">
        <v>0.97</v>
      </c>
      <c r="F287" s="4">
        <v>13</v>
      </c>
      <c r="G287" s="5">
        <v>1.2172284644194757E-2</v>
      </c>
    </row>
    <row r="288" spans="1:7" ht="23.05" customHeight="1">
      <c r="A288" s="4">
        <v>1000</v>
      </c>
      <c r="B288" s="4" t="s">
        <v>46</v>
      </c>
      <c r="C288" s="4">
        <v>99</v>
      </c>
      <c r="D288" s="4">
        <v>100</v>
      </c>
      <c r="E288" s="5">
        <v>0.99</v>
      </c>
      <c r="F288" s="4">
        <v>1</v>
      </c>
      <c r="G288" s="5">
        <v>9.3632958801498128E-4</v>
      </c>
    </row>
    <row r="289" spans="1:7" ht="23.05" customHeight="1">
      <c r="A289" s="4">
        <v>1000</v>
      </c>
      <c r="B289" s="4" t="s">
        <v>46</v>
      </c>
      <c r="C289" s="4">
        <v>100</v>
      </c>
      <c r="D289" s="4">
        <v>100</v>
      </c>
      <c r="E289" s="5">
        <v>1</v>
      </c>
      <c r="F289" s="4">
        <v>88</v>
      </c>
      <c r="G289" s="5">
        <v>8.2397003745318345E-2</v>
      </c>
    </row>
    <row r="290" spans="1:7" ht="23.05" customHeight="1">
      <c r="A290" s="4">
        <v>1000</v>
      </c>
      <c r="B290" s="4" t="s">
        <v>45</v>
      </c>
      <c r="C290" s="4">
        <v>1</v>
      </c>
      <c r="D290" s="4">
        <v>100</v>
      </c>
      <c r="E290" s="5">
        <v>0.01</v>
      </c>
      <c r="F290" s="4">
        <v>332029</v>
      </c>
      <c r="G290" s="5">
        <v>0.51309673192110128</v>
      </c>
    </row>
    <row r="291" spans="1:7" ht="23.05" customHeight="1">
      <c r="A291" s="4">
        <v>1000</v>
      </c>
      <c r="B291" s="4" t="s">
        <v>45</v>
      </c>
      <c r="C291" s="4">
        <v>2</v>
      </c>
      <c r="D291" s="4">
        <v>100</v>
      </c>
      <c r="E291" s="5">
        <v>0.02</v>
      </c>
      <c r="F291" s="4">
        <v>123365</v>
      </c>
      <c r="G291" s="5">
        <v>0.1906405113211396</v>
      </c>
    </row>
    <row r="292" spans="1:7" ht="23.05" customHeight="1">
      <c r="A292" s="4">
        <v>1000</v>
      </c>
      <c r="B292" s="4" t="s">
        <v>45</v>
      </c>
      <c r="C292" s="4">
        <v>3</v>
      </c>
      <c r="D292" s="4">
        <v>100</v>
      </c>
      <c r="E292" s="5">
        <v>0.03</v>
      </c>
      <c r="F292" s="4">
        <v>56169</v>
      </c>
      <c r="G292" s="5">
        <v>8.680003956062976E-2</v>
      </c>
    </row>
    <row r="293" spans="1:7" ht="23.05" customHeight="1">
      <c r="A293" s="4">
        <v>1000</v>
      </c>
      <c r="B293" s="4" t="s">
        <v>45</v>
      </c>
      <c r="C293" s="4">
        <v>4</v>
      </c>
      <c r="D293" s="4">
        <v>100</v>
      </c>
      <c r="E293" s="5">
        <v>0.04</v>
      </c>
      <c r="F293" s="4">
        <v>22423</v>
      </c>
      <c r="G293" s="5">
        <v>3.4651093789599262E-2</v>
      </c>
    </row>
    <row r="294" spans="1:7" ht="23.05" customHeight="1">
      <c r="A294" s="4">
        <v>1000</v>
      </c>
      <c r="B294" s="4" t="s">
        <v>45</v>
      </c>
      <c r="C294" s="4">
        <v>5</v>
      </c>
      <c r="D294" s="4">
        <v>100</v>
      </c>
      <c r="E294" s="5">
        <v>0.05</v>
      </c>
      <c r="F294" s="4">
        <v>13886</v>
      </c>
      <c r="G294" s="5">
        <v>2.1458550968308225E-2</v>
      </c>
    </row>
    <row r="295" spans="1:7" ht="23.05" customHeight="1">
      <c r="A295" s="4">
        <v>1000</v>
      </c>
      <c r="B295" s="4" t="s">
        <v>45</v>
      </c>
      <c r="C295" s="4">
        <v>6</v>
      </c>
      <c r="D295" s="4">
        <v>100</v>
      </c>
      <c r="E295" s="5">
        <v>0.06</v>
      </c>
      <c r="F295" s="4">
        <v>9590</v>
      </c>
      <c r="G295" s="5">
        <v>1.4819782787417248E-2</v>
      </c>
    </row>
    <row r="296" spans="1:7" ht="23.05" customHeight="1">
      <c r="A296" s="4">
        <v>1000</v>
      </c>
      <c r="B296" s="4" t="s">
        <v>45</v>
      </c>
      <c r="C296" s="4">
        <v>7</v>
      </c>
      <c r="D296" s="4">
        <v>100</v>
      </c>
      <c r="E296" s="5">
        <v>7.0000000000000007E-2</v>
      </c>
      <c r="F296" s="4">
        <v>6790</v>
      </c>
      <c r="G296" s="5">
        <v>1.0492838907879365E-2</v>
      </c>
    </row>
    <row r="297" spans="1:7" ht="23.05" customHeight="1">
      <c r="A297" s="4">
        <v>1000</v>
      </c>
      <c r="B297" s="4" t="s">
        <v>45</v>
      </c>
      <c r="C297" s="4">
        <v>8</v>
      </c>
      <c r="D297" s="4">
        <v>100</v>
      </c>
      <c r="E297" s="5">
        <v>0.08</v>
      </c>
      <c r="F297" s="4">
        <v>5090</v>
      </c>
      <c r="G297" s="5">
        <v>7.8657658381599358E-3</v>
      </c>
    </row>
    <row r="298" spans="1:7" ht="23.05" customHeight="1">
      <c r="A298" s="4">
        <v>1000</v>
      </c>
      <c r="B298" s="4" t="s">
        <v>45</v>
      </c>
      <c r="C298" s="4">
        <v>9</v>
      </c>
      <c r="D298" s="4">
        <v>100</v>
      </c>
      <c r="E298" s="5">
        <v>0.09</v>
      </c>
      <c r="F298" s="4">
        <v>4046</v>
      </c>
      <c r="G298" s="5">
        <v>6.2524339059322398E-3</v>
      </c>
    </row>
    <row r="299" spans="1:7" ht="23.05" customHeight="1">
      <c r="A299" s="4">
        <v>1000</v>
      </c>
      <c r="B299" s="4" t="s">
        <v>45</v>
      </c>
      <c r="C299" s="4">
        <v>10</v>
      </c>
      <c r="D299" s="4">
        <v>100</v>
      </c>
      <c r="E299" s="5">
        <v>0.1</v>
      </c>
      <c r="F299" s="4">
        <v>3421</v>
      </c>
      <c r="G299" s="5">
        <v>5.2865982185353912E-3</v>
      </c>
    </row>
    <row r="300" spans="1:7" ht="23.05" customHeight="1">
      <c r="A300" s="4">
        <v>1000</v>
      </c>
      <c r="B300" s="4" t="s">
        <v>45</v>
      </c>
      <c r="C300" s="4">
        <v>11</v>
      </c>
      <c r="D300" s="4">
        <v>100</v>
      </c>
      <c r="E300" s="5">
        <v>0.11</v>
      </c>
      <c r="F300" s="4">
        <v>2905</v>
      </c>
      <c r="G300" s="5">
        <v>4.4892042750205533E-3</v>
      </c>
    </row>
    <row r="301" spans="1:7" ht="23.05" customHeight="1">
      <c r="A301" s="4">
        <v>1000</v>
      </c>
      <c r="B301" s="4" t="s">
        <v>45</v>
      </c>
      <c r="C301" s="4">
        <v>12</v>
      </c>
      <c r="D301" s="4">
        <v>100</v>
      </c>
      <c r="E301" s="5">
        <v>0.12</v>
      </c>
      <c r="F301" s="4">
        <v>2775</v>
      </c>
      <c r="G301" s="5">
        <v>4.288310452042008E-3</v>
      </c>
    </row>
    <row r="302" spans="1:7" ht="23.05" customHeight="1">
      <c r="A302" s="4">
        <v>1000</v>
      </c>
      <c r="B302" s="4" t="s">
        <v>45</v>
      </c>
      <c r="C302" s="4">
        <v>13</v>
      </c>
      <c r="D302" s="4">
        <v>100</v>
      </c>
      <c r="E302" s="5">
        <v>0.13</v>
      </c>
      <c r="F302" s="4">
        <v>2552</v>
      </c>
      <c r="G302" s="5">
        <v>3.943700278778813E-3</v>
      </c>
    </row>
    <row r="303" spans="1:7" ht="23.05" customHeight="1">
      <c r="A303" s="4">
        <v>1000</v>
      </c>
      <c r="B303" s="4" t="s">
        <v>45</v>
      </c>
      <c r="C303" s="4">
        <v>14</v>
      </c>
      <c r="D303" s="4">
        <v>100</v>
      </c>
      <c r="E303" s="5">
        <v>0.14000000000000001</v>
      </c>
      <c r="F303" s="4">
        <v>2321</v>
      </c>
      <c r="G303" s="5">
        <v>3.5867274087169375E-3</v>
      </c>
    </row>
    <row r="304" spans="1:7" ht="23.05" customHeight="1">
      <c r="A304" s="4">
        <v>1000</v>
      </c>
      <c r="B304" s="4" t="s">
        <v>45</v>
      </c>
      <c r="C304" s="4">
        <v>15</v>
      </c>
      <c r="D304" s="4">
        <v>100</v>
      </c>
      <c r="E304" s="5">
        <v>0.15</v>
      </c>
      <c r="F304" s="4">
        <v>2187</v>
      </c>
      <c r="G304" s="5">
        <v>3.3796522373390533E-3</v>
      </c>
    </row>
    <row r="305" spans="1:7" ht="23.05" customHeight="1">
      <c r="A305" s="4">
        <v>1000</v>
      </c>
      <c r="B305" s="4" t="s">
        <v>45</v>
      </c>
      <c r="C305" s="4">
        <v>16</v>
      </c>
      <c r="D305" s="4">
        <v>100</v>
      </c>
      <c r="E305" s="5">
        <v>0.16</v>
      </c>
      <c r="F305" s="4">
        <v>2088</v>
      </c>
      <c r="G305" s="5">
        <v>3.2266638644553921E-3</v>
      </c>
    </row>
    <row r="306" spans="1:7" ht="23.05" customHeight="1">
      <c r="A306" s="4">
        <v>1000</v>
      </c>
      <c r="B306" s="4" t="s">
        <v>45</v>
      </c>
      <c r="C306" s="4">
        <v>17</v>
      </c>
      <c r="D306" s="4">
        <v>100</v>
      </c>
      <c r="E306" s="5">
        <v>0.17</v>
      </c>
      <c r="F306" s="4">
        <v>2101</v>
      </c>
      <c r="G306" s="5">
        <v>3.246753246753247E-3</v>
      </c>
    </row>
    <row r="307" spans="1:7" ht="23.05" customHeight="1">
      <c r="A307" s="4">
        <v>1000</v>
      </c>
      <c r="B307" s="4" t="s">
        <v>45</v>
      </c>
      <c r="C307" s="4">
        <v>18</v>
      </c>
      <c r="D307" s="4">
        <v>100</v>
      </c>
      <c r="E307" s="5">
        <v>0.18</v>
      </c>
      <c r="F307" s="4">
        <v>1930</v>
      </c>
      <c r="G307" s="5">
        <v>2.9825006026814689E-3</v>
      </c>
    </row>
    <row r="308" spans="1:7" ht="23.05" customHeight="1">
      <c r="A308" s="4">
        <v>1000</v>
      </c>
      <c r="B308" s="4" t="s">
        <v>45</v>
      </c>
      <c r="C308" s="4">
        <v>19</v>
      </c>
      <c r="D308" s="4">
        <v>100</v>
      </c>
      <c r="E308" s="5">
        <v>0.19</v>
      </c>
      <c r="F308" s="4">
        <v>1797</v>
      </c>
      <c r="G308" s="5">
        <v>2.7769707684034196E-3</v>
      </c>
    </row>
    <row r="309" spans="1:7" ht="23.05" customHeight="1">
      <c r="A309" s="4">
        <v>1000</v>
      </c>
      <c r="B309" s="4" t="s">
        <v>45</v>
      </c>
      <c r="C309" s="4">
        <v>20</v>
      </c>
      <c r="D309" s="4">
        <v>100</v>
      </c>
      <c r="E309" s="5">
        <v>0.2</v>
      </c>
      <c r="F309" s="4">
        <v>1750</v>
      </c>
      <c r="G309" s="5">
        <v>2.7043399247111766E-3</v>
      </c>
    </row>
    <row r="310" spans="1:7" ht="23.05" customHeight="1">
      <c r="A310" s="4">
        <v>1000</v>
      </c>
      <c r="B310" s="4" t="s">
        <v>45</v>
      </c>
      <c r="C310" s="4">
        <v>21</v>
      </c>
      <c r="D310" s="4">
        <v>100</v>
      </c>
      <c r="E310" s="5">
        <v>0.21</v>
      </c>
      <c r="F310" s="4">
        <v>1649</v>
      </c>
      <c r="G310" s="5">
        <v>2.5482608776278459E-3</v>
      </c>
    </row>
    <row r="311" spans="1:7" ht="23.05" customHeight="1">
      <c r="A311" s="4">
        <v>1000</v>
      </c>
      <c r="B311" s="4" t="s">
        <v>45</v>
      </c>
      <c r="C311" s="4">
        <v>22</v>
      </c>
      <c r="D311" s="4">
        <v>100</v>
      </c>
      <c r="E311" s="5">
        <v>0.22</v>
      </c>
      <c r="F311" s="4">
        <v>1616</v>
      </c>
      <c r="G311" s="5">
        <v>2.4972647533332919E-3</v>
      </c>
    </row>
    <row r="312" spans="1:7" ht="23.05" customHeight="1">
      <c r="A312" s="4">
        <v>1000</v>
      </c>
      <c r="B312" s="4" t="s">
        <v>45</v>
      </c>
      <c r="C312" s="4">
        <v>23</v>
      </c>
      <c r="D312" s="4">
        <v>100</v>
      </c>
      <c r="E312" s="5">
        <v>0.23</v>
      </c>
      <c r="F312" s="4">
        <v>1515</v>
      </c>
      <c r="G312" s="5">
        <v>2.3411857062499613E-3</v>
      </c>
    </row>
    <row r="313" spans="1:7" ht="23.05" customHeight="1">
      <c r="A313" s="4">
        <v>1000</v>
      </c>
      <c r="B313" s="4" t="s">
        <v>45</v>
      </c>
      <c r="C313" s="4">
        <v>24</v>
      </c>
      <c r="D313" s="4">
        <v>100</v>
      </c>
      <c r="E313" s="5">
        <v>0.24</v>
      </c>
      <c r="F313" s="4">
        <v>1593</v>
      </c>
      <c r="G313" s="5">
        <v>2.4617220000370879E-3</v>
      </c>
    </row>
    <row r="314" spans="1:7" ht="23.05" customHeight="1">
      <c r="A314" s="4">
        <v>1000</v>
      </c>
      <c r="B314" s="4" t="s">
        <v>45</v>
      </c>
      <c r="C314" s="4">
        <v>25</v>
      </c>
      <c r="D314" s="4">
        <v>100</v>
      </c>
      <c r="E314" s="5">
        <v>0.25</v>
      </c>
      <c r="F314" s="4">
        <v>1625</v>
      </c>
      <c r="G314" s="5">
        <v>2.5111727872318065E-3</v>
      </c>
    </row>
    <row r="315" spans="1:7" ht="23.05" customHeight="1">
      <c r="A315" s="4">
        <v>1000</v>
      </c>
      <c r="B315" s="4" t="s">
        <v>45</v>
      </c>
      <c r="C315" s="4">
        <v>26</v>
      </c>
      <c r="D315" s="4">
        <v>100</v>
      </c>
      <c r="E315" s="5">
        <v>0.26</v>
      </c>
      <c r="F315" s="4">
        <v>1606</v>
      </c>
      <c r="G315" s="5">
        <v>2.4818113823349424E-3</v>
      </c>
    </row>
    <row r="316" spans="1:7" ht="23.05" customHeight="1">
      <c r="A316" s="4">
        <v>1000</v>
      </c>
      <c r="B316" s="4" t="s">
        <v>45</v>
      </c>
      <c r="C316" s="4">
        <v>27</v>
      </c>
      <c r="D316" s="4">
        <v>100</v>
      </c>
      <c r="E316" s="5">
        <v>0.27</v>
      </c>
      <c r="F316" s="4">
        <v>1769</v>
      </c>
      <c r="G316" s="5">
        <v>2.7337013296080408E-3</v>
      </c>
    </row>
    <row r="317" spans="1:7" ht="23.05" customHeight="1">
      <c r="A317" s="4">
        <v>1000</v>
      </c>
      <c r="B317" s="4" t="s">
        <v>45</v>
      </c>
      <c r="C317" s="4">
        <v>28</v>
      </c>
      <c r="D317" s="4">
        <v>100</v>
      </c>
      <c r="E317" s="5">
        <v>0.28000000000000003</v>
      </c>
      <c r="F317" s="4">
        <v>1659</v>
      </c>
      <c r="G317" s="5">
        <v>2.5637142486261955E-3</v>
      </c>
    </row>
    <row r="318" spans="1:7" ht="23.05" customHeight="1">
      <c r="A318" s="4">
        <v>1000</v>
      </c>
      <c r="B318" s="4" t="s">
        <v>45</v>
      </c>
      <c r="C318" s="4">
        <v>29</v>
      </c>
      <c r="D318" s="4">
        <v>100</v>
      </c>
      <c r="E318" s="5">
        <v>0.28999999999999998</v>
      </c>
      <c r="F318" s="4">
        <v>1522</v>
      </c>
      <c r="G318" s="5">
        <v>2.352003065948806E-3</v>
      </c>
    </row>
    <row r="319" spans="1:7" ht="23.05" customHeight="1">
      <c r="A319" s="4">
        <v>1000</v>
      </c>
      <c r="B319" s="4" t="s">
        <v>45</v>
      </c>
      <c r="C319" s="4">
        <v>30</v>
      </c>
      <c r="D319" s="4">
        <v>100</v>
      </c>
      <c r="E319" s="5">
        <v>0.3</v>
      </c>
      <c r="F319" s="4">
        <v>1574</v>
      </c>
      <c r="G319" s="5">
        <v>2.4323605951402237E-3</v>
      </c>
    </row>
    <row r="320" spans="1:7" ht="23.05" customHeight="1">
      <c r="A320" s="4">
        <v>1000</v>
      </c>
      <c r="B320" s="4" t="s">
        <v>45</v>
      </c>
      <c r="C320" s="4">
        <v>31</v>
      </c>
      <c r="D320" s="4">
        <v>100</v>
      </c>
      <c r="E320" s="5">
        <v>0.31</v>
      </c>
      <c r="F320" s="4">
        <v>1429</v>
      </c>
      <c r="G320" s="5">
        <v>2.208286715664155E-3</v>
      </c>
    </row>
    <row r="321" spans="1:7" ht="23.05" customHeight="1">
      <c r="A321" s="4">
        <v>1000</v>
      </c>
      <c r="B321" s="4" t="s">
        <v>45</v>
      </c>
      <c r="C321" s="4">
        <v>32</v>
      </c>
      <c r="D321" s="4">
        <v>100</v>
      </c>
      <c r="E321" s="5">
        <v>0.32</v>
      </c>
      <c r="F321" s="4">
        <v>1386</v>
      </c>
      <c r="G321" s="5">
        <v>2.1418372203712518E-3</v>
      </c>
    </row>
    <row r="322" spans="1:7" ht="23.05" customHeight="1">
      <c r="A322" s="4">
        <v>1000</v>
      </c>
      <c r="B322" s="4" t="s">
        <v>45</v>
      </c>
      <c r="C322" s="4">
        <v>33</v>
      </c>
      <c r="D322" s="4">
        <v>100</v>
      </c>
      <c r="E322" s="5">
        <v>0.33</v>
      </c>
      <c r="F322" s="4">
        <v>1292</v>
      </c>
      <c r="G322" s="5">
        <v>1.9965755329867658E-3</v>
      </c>
    </row>
    <row r="323" spans="1:7" ht="23.05" customHeight="1">
      <c r="A323" s="4">
        <v>1000</v>
      </c>
      <c r="B323" s="4" t="s">
        <v>45</v>
      </c>
      <c r="C323" s="4">
        <v>34</v>
      </c>
      <c r="D323" s="4">
        <v>100</v>
      </c>
      <c r="E323" s="5">
        <v>0.34</v>
      </c>
      <c r="F323" s="4">
        <v>1298</v>
      </c>
      <c r="G323" s="5">
        <v>2.0058475555857756E-3</v>
      </c>
    </row>
    <row r="324" spans="1:7" ht="23.05" customHeight="1">
      <c r="A324" s="4">
        <v>1000</v>
      </c>
      <c r="B324" s="4" t="s">
        <v>45</v>
      </c>
      <c r="C324" s="4">
        <v>35</v>
      </c>
      <c r="D324" s="4">
        <v>100</v>
      </c>
      <c r="E324" s="5">
        <v>0.35</v>
      </c>
      <c r="F324" s="4">
        <v>1210</v>
      </c>
      <c r="G324" s="5">
        <v>1.8698578908002991E-3</v>
      </c>
    </row>
    <row r="325" spans="1:7" ht="23.05" customHeight="1">
      <c r="A325" s="4">
        <v>1000</v>
      </c>
      <c r="B325" s="4" t="s">
        <v>45</v>
      </c>
      <c r="C325" s="4">
        <v>36</v>
      </c>
      <c r="D325" s="4">
        <v>100</v>
      </c>
      <c r="E325" s="5">
        <v>0.36</v>
      </c>
      <c r="F325" s="4">
        <v>1159</v>
      </c>
      <c r="G325" s="5">
        <v>1.7910456987087163E-3</v>
      </c>
    </row>
    <row r="326" spans="1:7" ht="23.05" customHeight="1">
      <c r="A326" s="4">
        <v>1000</v>
      </c>
      <c r="B326" s="4" t="s">
        <v>45</v>
      </c>
      <c r="C326" s="4">
        <v>37</v>
      </c>
      <c r="D326" s="4">
        <v>100</v>
      </c>
      <c r="E326" s="5">
        <v>0.37</v>
      </c>
      <c r="F326" s="4">
        <v>1084</v>
      </c>
      <c r="G326" s="5">
        <v>1.6751454162210945E-3</v>
      </c>
    </row>
    <row r="327" spans="1:7" ht="23.05" customHeight="1">
      <c r="A327" s="4">
        <v>1000</v>
      </c>
      <c r="B327" s="4" t="s">
        <v>45</v>
      </c>
      <c r="C327" s="4">
        <v>38</v>
      </c>
      <c r="D327" s="4">
        <v>100</v>
      </c>
      <c r="E327" s="5">
        <v>0.38</v>
      </c>
      <c r="F327" s="4">
        <v>989</v>
      </c>
      <c r="G327" s="5">
        <v>1.5283383917367734E-3</v>
      </c>
    </row>
    <row r="328" spans="1:7" ht="23.05" customHeight="1">
      <c r="A328" s="4">
        <v>1000</v>
      </c>
      <c r="B328" s="4" t="s">
        <v>45</v>
      </c>
      <c r="C328" s="4">
        <v>39</v>
      </c>
      <c r="D328" s="4">
        <v>100</v>
      </c>
      <c r="E328" s="5">
        <v>0.39</v>
      </c>
      <c r="F328" s="4">
        <v>988</v>
      </c>
      <c r="G328" s="5">
        <v>1.5267930546369385E-3</v>
      </c>
    </row>
    <row r="329" spans="1:7" ht="23.05" customHeight="1">
      <c r="A329" s="4">
        <v>1000</v>
      </c>
      <c r="B329" s="4" t="s">
        <v>45</v>
      </c>
      <c r="C329" s="4">
        <v>40</v>
      </c>
      <c r="D329" s="4">
        <v>100</v>
      </c>
      <c r="E329" s="5">
        <v>0.4</v>
      </c>
      <c r="F329" s="4">
        <v>945</v>
      </c>
      <c r="G329" s="5">
        <v>1.4603435593440353E-3</v>
      </c>
    </row>
    <row r="330" spans="1:7" ht="23.05" customHeight="1">
      <c r="A330" s="4">
        <v>1000</v>
      </c>
      <c r="B330" s="4" t="s">
        <v>45</v>
      </c>
      <c r="C330" s="4">
        <v>41</v>
      </c>
      <c r="D330" s="4">
        <v>100</v>
      </c>
      <c r="E330" s="5">
        <v>0.41</v>
      </c>
      <c r="F330" s="4">
        <v>964</v>
      </c>
      <c r="G330" s="5">
        <v>1.4897049642408995E-3</v>
      </c>
    </row>
    <row r="331" spans="1:7" ht="23.05" customHeight="1">
      <c r="A331" s="4">
        <v>1000</v>
      </c>
      <c r="B331" s="4" t="s">
        <v>45</v>
      </c>
      <c r="C331" s="4">
        <v>42</v>
      </c>
      <c r="D331" s="4">
        <v>100</v>
      </c>
      <c r="E331" s="5">
        <v>0.42</v>
      </c>
      <c r="F331" s="4">
        <v>875</v>
      </c>
      <c r="G331" s="5">
        <v>1.3521699623555883E-3</v>
      </c>
    </row>
    <row r="332" spans="1:7" ht="23.05" customHeight="1">
      <c r="A332" s="4">
        <v>1000</v>
      </c>
      <c r="B332" s="4" t="s">
        <v>45</v>
      </c>
      <c r="C332" s="4">
        <v>43</v>
      </c>
      <c r="D332" s="4">
        <v>100</v>
      </c>
      <c r="E332" s="5">
        <v>0.43</v>
      </c>
      <c r="F332" s="4">
        <v>784</v>
      </c>
      <c r="G332" s="5">
        <v>1.211544286270607E-3</v>
      </c>
    </row>
    <row r="333" spans="1:7" ht="23.05" customHeight="1">
      <c r="A333" s="4">
        <v>1000</v>
      </c>
      <c r="B333" s="4" t="s">
        <v>45</v>
      </c>
      <c r="C333" s="4">
        <v>44</v>
      </c>
      <c r="D333" s="4">
        <v>100</v>
      </c>
      <c r="E333" s="5">
        <v>0.44</v>
      </c>
      <c r="F333" s="4">
        <v>766</v>
      </c>
      <c r="G333" s="5">
        <v>1.1837282184735778E-3</v>
      </c>
    </row>
    <row r="334" spans="1:7" ht="23.05" customHeight="1">
      <c r="A334" s="4">
        <v>1000</v>
      </c>
      <c r="B334" s="4" t="s">
        <v>45</v>
      </c>
      <c r="C334" s="4">
        <v>45</v>
      </c>
      <c r="D334" s="4">
        <v>100</v>
      </c>
      <c r="E334" s="5">
        <v>0.45</v>
      </c>
      <c r="F334" s="4">
        <v>702</v>
      </c>
      <c r="G334" s="5">
        <v>1.0848266440841405E-3</v>
      </c>
    </row>
    <row r="335" spans="1:7" ht="23.05" customHeight="1">
      <c r="A335" s="4">
        <v>1000</v>
      </c>
      <c r="B335" s="4" t="s">
        <v>45</v>
      </c>
      <c r="C335" s="4">
        <v>46</v>
      </c>
      <c r="D335" s="4">
        <v>100</v>
      </c>
      <c r="E335" s="5">
        <v>0.46</v>
      </c>
      <c r="F335" s="4">
        <v>634</v>
      </c>
      <c r="G335" s="5">
        <v>9.7974372129536343E-4</v>
      </c>
    </row>
    <row r="336" spans="1:7" ht="23.05" customHeight="1">
      <c r="A336" s="4">
        <v>1000</v>
      </c>
      <c r="B336" s="4" t="s">
        <v>45</v>
      </c>
      <c r="C336" s="4">
        <v>47</v>
      </c>
      <c r="D336" s="4">
        <v>100</v>
      </c>
      <c r="E336" s="5">
        <v>0.47</v>
      </c>
      <c r="F336" s="4">
        <v>574</v>
      </c>
      <c r="G336" s="5">
        <v>8.870234953052659E-4</v>
      </c>
    </row>
    <row r="337" spans="1:7" ht="23.05" customHeight="1">
      <c r="A337" s="4">
        <v>1000</v>
      </c>
      <c r="B337" s="4" t="s">
        <v>45</v>
      </c>
      <c r="C337" s="4">
        <v>48</v>
      </c>
      <c r="D337" s="4">
        <v>100</v>
      </c>
      <c r="E337" s="5">
        <v>0.48</v>
      </c>
      <c r="F337" s="4">
        <v>564</v>
      </c>
      <c r="G337" s="5">
        <v>8.7157012430691633E-4</v>
      </c>
    </row>
    <row r="338" spans="1:7" ht="23.05" customHeight="1">
      <c r="A338" s="4">
        <v>1000</v>
      </c>
      <c r="B338" s="4" t="s">
        <v>45</v>
      </c>
      <c r="C338" s="4">
        <v>49</v>
      </c>
      <c r="D338" s="4">
        <v>100</v>
      </c>
      <c r="E338" s="5">
        <v>0.49</v>
      </c>
      <c r="F338" s="4">
        <v>488</v>
      </c>
      <c r="G338" s="5">
        <v>7.5412450471945948E-4</v>
      </c>
    </row>
    <row r="339" spans="1:7" ht="23.05" customHeight="1">
      <c r="A339" s="4">
        <v>1000</v>
      </c>
      <c r="B339" s="4" t="s">
        <v>45</v>
      </c>
      <c r="C339" s="4">
        <v>50</v>
      </c>
      <c r="D339" s="4">
        <v>100</v>
      </c>
      <c r="E339" s="5">
        <v>0.5</v>
      </c>
      <c r="F339" s="4">
        <v>450</v>
      </c>
      <c r="G339" s="5">
        <v>6.9540169492573111E-4</v>
      </c>
    </row>
    <row r="340" spans="1:7" ht="23.05" customHeight="1">
      <c r="A340" s="4">
        <v>1000</v>
      </c>
      <c r="B340" s="4" t="s">
        <v>45</v>
      </c>
      <c r="C340" s="4">
        <v>51</v>
      </c>
      <c r="D340" s="4">
        <v>100</v>
      </c>
      <c r="E340" s="5">
        <v>0.51</v>
      </c>
      <c r="F340" s="4">
        <v>469</v>
      </c>
      <c r="G340" s="5">
        <v>7.247630998225953E-4</v>
      </c>
    </row>
    <row r="341" spans="1:7" ht="23.05" customHeight="1">
      <c r="A341" s="4">
        <v>1000</v>
      </c>
      <c r="B341" s="4" t="s">
        <v>45</v>
      </c>
      <c r="C341" s="4">
        <v>52</v>
      </c>
      <c r="D341" s="4">
        <v>100</v>
      </c>
      <c r="E341" s="5">
        <v>0.52</v>
      </c>
      <c r="F341" s="4">
        <v>471</v>
      </c>
      <c r="G341" s="5">
        <v>7.2785377402226521E-4</v>
      </c>
    </row>
    <row r="342" spans="1:7" ht="23.05" customHeight="1">
      <c r="A342" s="4">
        <v>1000</v>
      </c>
      <c r="B342" s="4" t="s">
        <v>45</v>
      </c>
      <c r="C342" s="4">
        <v>53</v>
      </c>
      <c r="D342" s="4">
        <v>100</v>
      </c>
      <c r="E342" s="5">
        <v>0.53</v>
      </c>
      <c r="F342" s="4">
        <v>415</v>
      </c>
      <c r="G342" s="5">
        <v>6.4131489643150762E-4</v>
      </c>
    </row>
    <row r="343" spans="1:7" ht="23.05" customHeight="1">
      <c r="A343" s="4">
        <v>1000</v>
      </c>
      <c r="B343" s="4" t="s">
        <v>45</v>
      </c>
      <c r="C343" s="4">
        <v>54</v>
      </c>
      <c r="D343" s="4">
        <v>100</v>
      </c>
      <c r="E343" s="5">
        <v>0.54</v>
      </c>
      <c r="F343" s="4">
        <v>408</v>
      </c>
      <c r="G343" s="5">
        <v>6.3049753673266292E-4</v>
      </c>
    </row>
    <row r="344" spans="1:7" ht="23.05" customHeight="1">
      <c r="A344" s="4">
        <v>1000</v>
      </c>
      <c r="B344" s="4" t="s">
        <v>45</v>
      </c>
      <c r="C344" s="4">
        <v>55</v>
      </c>
      <c r="D344" s="4">
        <v>100</v>
      </c>
      <c r="E344" s="5">
        <v>0.55000000000000004</v>
      </c>
      <c r="F344" s="4">
        <v>385</v>
      </c>
      <c r="G344" s="5">
        <v>5.949547834364588E-4</v>
      </c>
    </row>
    <row r="345" spans="1:7" ht="23.05" customHeight="1">
      <c r="A345" s="4">
        <v>1000</v>
      </c>
      <c r="B345" s="4" t="s">
        <v>45</v>
      </c>
      <c r="C345" s="4">
        <v>56</v>
      </c>
      <c r="D345" s="4">
        <v>100</v>
      </c>
      <c r="E345" s="5">
        <v>0.56000000000000005</v>
      </c>
      <c r="F345" s="4">
        <v>402</v>
      </c>
      <c r="G345" s="5">
        <v>6.2122551413365307E-4</v>
      </c>
    </row>
    <row r="346" spans="1:7" ht="23.05" customHeight="1">
      <c r="A346" s="4">
        <v>1000</v>
      </c>
      <c r="B346" s="4" t="s">
        <v>45</v>
      </c>
      <c r="C346" s="4">
        <v>57</v>
      </c>
      <c r="D346" s="4">
        <v>100</v>
      </c>
      <c r="E346" s="5">
        <v>0.56999999999999995</v>
      </c>
      <c r="F346" s="4">
        <v>381</v>
      </c>
      <c r="G346" s="5">
        <v>5.8877343503711897E-4</v>
      </c>
    </row>
    <row r="347" spans="1:7" ht="23.05" customHeight="1">
      <c r="A347" s="4">
        <v>1000</v>
      </c>
      <c r="B347" s="4" t="s">
        <v>45</v>
      </c>
      <c r="C347" s="4">
        <v>58</v>
      </c>
      <c r="D347" s="4">
        <v>100</v>
      </c>
      <c r="E347" s="5">
        <v>0.57999999999999996</v>
      </c>
      <c r="F347" s="4">
        <v>368</v>
      </c>
      <c r="G347" s="5">
        <v>5.6868405273926453E-4</v>
      </c>
    </row>
    <row r="348" spans="1:7" ht="23.05" customHeight="1">
      <c r="A348" s="4">
        <v>1000</v>
      </c>
      <c r="B348" s="4" t="s">
        <v>45</v>
      </c>
      <c r="C348" s="4">
        <v>59</v>
      </c>
      <c r="D348" s="4">
        <v>100</v>
      </c>
      <c r="E348" s="5">
        <v>0.59</v>
      </c>
      <c r="F348" s="4">
        <v>363</v>
      </c>
      <c r="G348" s="5">
        <v>5.6095736724008974E-4</v>
      </c>
    </row>
    <row r="349" spans="1:7" ht="23.05" customHeight="1">
      <c r="A349" s="4">
        <v>1000</v>
      </c>
      <c r="B349" s="4" t="s">
        <v>45</v>
      </c>
      <c r="C349" s="4">
        <v>60</v>
      </c>
      <c r="D349" s="4">
        <v>100</v>
      </c>
      <c r="E349" s="5">
        <v>0.6</v>
      </c>
      <c r="F349" s="4">
        <v>343</v>
      </c>
      <c r="G349" s="5">
        <v>5.300506252433906E-4</v>
      </c>
    </row>
    <row r="350" spans="1:7" ht="23.05" customHeight="1">
      <c r="A350" s="4">
        <v>1000</v>
      </c>
      <c r="B350" s="4" t="s">
        <v>45</v>
      </c>
      <c r="C350" s="4">
        <v>61</v>
      </c>
      <c r="D350" s="4">
        <v>100</v>
      </c>
      <c r="E350" s="5">
        <v>0.61</v>
      </c>
      <c r="F350" s="4">
        <v>333</v>
      </c>
      <c r="G350" s="5">
        <v>5.1459725424504103E-4</v>
      </c>
    </row>
    <row r="351" spans="1:7" ht="23.05" customHeight="1">
      <c r="A351" s="4">
        <v>1000</v>
      </c>
      <c r="B351" s="4" t="s">
        <v>45</v>
      </c>
      <c r="C351" s="4">
        <v>62</v>
      </c>
      <c r="D351" s="4">
        <v>100</v>
      </c>
      <c r="E351" s="5">
        <v>0.62</v>
      </c>
      <c r="F351" s="4">
        <v>299</v>
      </c>
      <c r="G351" s="5">
        <v>4.6205579285065243E-4</v>
      </c>
    </row>
    <row r="352" spans="1:7" ht="23.05" customHeight="1">
      <c r="A352" s="4">
        <v>1000</v>
      </c>
      <c r="B352" s="4" t="s">
        <v>45</v>
      </c>
      <c r="C352" s="4">
        <v>63</v>
      </c>
      <c r="D352" s="4">
        <v>100</v>
      </c>
      <c r="E352" s="5">
        <v>0.63</v>
      </c>
      <c r="F352" s="4">
        <v>303</v>
      </c>
      <c r="G352" s="5">
        <v>4.6823714124999226E-4</v>
      </c>
    </row>
    <row r="353" spans="1:7" ht="23.05" customHeight="1">
      <c r="A353" s="4">
        <v>1000</v>
      </c>
      <c r="B353" s="4" t="s">
        <v>45</v>
      </c>
      <c r="C353" s="4">
        <v>64</v>
      </c>
      <c r="D353" s="4">
        <v>100</v>
      </c>
      <c r="E353" s="5">
        <v>0.64</v>
      </c>
      <c r="F353" s="4">
        <v>287</v>
      </c>
      <c r="G353" s="5">
        <v>4.4351174765263295E-4</v>
      </c>
    </row>
    <row r="354" spans="1:7" ht="23.05" customHeight="1">
      <c r="A354" s="4">
        <v>1000</v>
      </c>
      <c r="B354" s="4" t="s">
        <v>45</v>
      </c>
      <c r="C354" s="4">
        <v>65</v>
      </c>
      <c r="D354" s="4">
        <v>100</v>
      </c>
      <c r="E354" s="5">
        <v>0.65</v>
      </c>
      <c r="F354" s="4">
        <v>264</v>
      </c>
      <c r="G354" s="5">
        <v>4.0796899435642894E-4</v>
      </c>
    </row>
    <row r="355" spans="1:7" ht="23.05" customHeight="1">
      <c r="A355" s="4">
        <v>1000</v>
      </c>
      <c r="B355" s="4" t="s">
        <v>45</v>
      </c>
      <c r="C355" s="4">
        <v>66</v>
      </c>
      <c r="D355" s="4">
        <v>100</v>
      </c>
      <c r="E355" s="5">
        <v>0.66</v>
      </c>
      <c r="F355" s="4">
        <v>247</v>
      </c>
      <c r="G355" s="5">
        <v>3.8169826365923461E-4</v>
      </c>
    </row>
    <row r="356" spans="1:7" ht="23.05" customHeight="1">
      <c r="A356" s="4">
        <v>1000</v>
      </c>
      <c r="B356" s="4" t="s">
        <v>45</v>
      </c>
      <c r="C356" s="4">
        <v>67</v>
      </c>
      <c r="D356" s="4">
        <v>100</v>
      </c>
      <c r="E356" s="5">
        <v>0.67</v>
      </c>
      <c r="F356" s="4">
        <v>252</v>
      </c>
      <c r="G356" s="5">
        <v>3.894249491584094E-4</v>
      </c>
    </row>
    <row r="357" spans="1:7" ht="23.05" customHeight="1">
      <c r="A357" s="4">
        <v>1000</v>
      </c>
      <c r="B357" s="4" t="s">
        <v>45</v>
      </c>
      <c r="C357" s="4">
        <v>68</v>
      </c>
      <c r="D357" s="4">
        <v>100</v>
      </c>
      <c r="E357" s="5">
        <v>0.68</v>
      </c>
      <c r="F357" s="4">
        <v>263</v>
      </c>
      <c r="G357" s="5">
        <v>4.0642365725659398E-4</v>
      </c>
    </row>
    <row r="358" spans="1:7" ht="23.05" customHeight="1">
      <c r="A358" s="4">
        <v>1000</v>
      </c>
      <c r="B358" s="4" t="s">
        <v>45</v>
      </c>
      <c r="C358" s="4">
        <v>69</v>
      </c>
      <c r="D358" s="4">
        <v>100</v>
      </c>
      <c r="E358" s="5">
        <v>0.69</v>
      </c>
      <c r="F358" s="4">
        <v>232</v>
      </c>
      <c r="G358" s="5">
        <v>3.5851820716171026E-4</v>
      </c>
    </row>
    <row r="359" spans="1:7" ht="23.05" customHeight="1">
      <c r="A359" s="4">
        <v>1000</v>
      </c>
      <c r="B359" s="4" t="s">
        <v>45</v>
      </c>
      <c r="C359" s="4">
        <v>70</v>
      </c>
      <c r="D359" s="4">
        <v>100</v>
      </c>
      <c r="E359" s="5">
        <v>0.7</v>
      </c>
      <c r="F359" s="4">
        <v>199</v>
      </c>
      <c r="G359" s="5">
        <v>3.0752208286715662E-4</v>
      </c>
    </row>
    <row r="360" spans="1:7" ht="23.05" customHeight="1">
      <c r="A360" s="4">
        <v>1000</v>
      </c>
      <c r="B360" s="4" t="s">
        <v>45</v>
      </c>
      <c r="C360" s="4">
        <v>71</v>
      </c>
      <c r="D360" s="4">
        <v>100</v>
      </c>
      <c r="E360" s="5">
        <v>0.71</v>
      </c>
      <c r="F360" s="4">
        <v>205</v>
      </c>
      <c r="G360" s="5">
        <v>3.1679410546616642E-4</v>
      </c>
    </row>
    <row r="361" spans="1:7" ht="23.05" customHeight="1">
      <c r="A361" s="4">
        <v>1000</v>
      </c>
      <c r="B361" s="4" t="s">
        <v>45</v>
      </c>
      <c r="C361" s="4">
        <v>72</v>
      </c>
      <c r="D361" s="4">
        <v>100</v>
      </c>
      <c r="E361" s="5">
        <v>0.72</v>
      </c>
      <c r="F361" s="4">
        <v>189</v>
      </c>
      <c r="G361" s="5">
        <v>2.9206871186880705E-4</v>
      </c>
    </row>
    <row r="362" spans="1:7" ht="23.05" customHeight="1">
      <c r="A362" s="4">
        <v>1000</v>
      </c>
      <c r="B362" s="4" t="s">
        <v>45</v>
      </c>
      <c r="C362" s="4">
        <v>73</v>
      </c>
      <c r="D362" s="4">
        <v>100</v>
      </c>
      <c r="E362" s="5">
        <v>0.73</v>
      </c>
      <c r="F362" s="4">
        <v>175</v>
      </c>
      <c r="G362" s="5">
        <v>2.7043399247111765E-4</v>
      </c>
    </row>
    <row r="363" spans="1:7" ht="23.05" customHeight="1">
      <c r="A363" s="4">
        <v>1000</v>
      </c>
      <c r="B363" s="4" t="s">
        <v>45</v>
      </c>
      <c r="C363" s="4">
        <v>74</v>
      </c>
      <c r="D363" s="4">
        <v>100</v>
      </c>
      <c r="E363" s="5">
        <v>0.74</v>
      </c>
      <c r="F363" s="4">
        <v>156</v>
      </c>
      <c r="G363" s="5">
        <v>2.4107258757425344E-4</v>
      </c>
    </row>
    <row r="364" spans="1:7" ht="23.05" customHeight="1">
      <c r="A364" s="4">
        <v>1000</v>
      </c>
      <c r="B364" s="4" t="s">
        <v>45</v>
      </c>
      <c r="C364" s="4">
        <v>75</v>
      </c>
      <c r="D364" s="4">
        <v>100</v>
      </c>
      <c r="E364" s="5">
        <v>0.75</v>
      </c>
      <c r="F364" s="4">
        <v>176</v>
      </c>
      <c r="G364" s="5">
        <v>2.7197932957095261E-4</v>
      </c>
    </row>
    <row r="365" spans="1:7" ht="23.05" customHeight="1">
      <c r="A365" s="4">
        <v>1000</v>
      </c>
      <c r="B365" s="4" t="s">
        <v>45</v>
      </c>
      <c r="C365" s="4">
        <v>76</v>
      </c>
      <c r="D365" s="4">
        <v>100</v>
      </c>
      <c r="E365" s="5">
        <v>0.76</v>
      </c>
      <c r="F365" s="4">
        <v>138</v>
      </c>
      <c r="G365" s="5">
        <v>2.1325651977722421E-4</v>
      </c>
    </row>
    <row r="366" spans="1:7" ht="23.05" customHeight="1">
      <c r="A366" s="4">
        <v>1000</v>
      </c>
      <c r="B366" s="4" t="s">
        <v>45</v>
      </c>
      <c r="C366" s="4">
        <v>77</v>
      </c>
      <c r="D366" s="4">
        <v>100</v>
      </c>
      <c r="E366" s="5">
        <v>0.77</v>
      </c>
      <c r="F366" s="4">
        <v>130</v>
      </c>
      <c r="G366" s="5">
        <v>2.0089382297854453E-4</v>
      </c>
    </row>
    <row r="367" spans="1:7" ht="23.05" customHeight="1">
      <c r="A367" s="4">
        <v>1000</v>
      </c>
      <c r="B367" s="4" t="s">
        <v>45</v>
      </c>
      <c r="C367" s="4">
        <v>78</v>
      </c>
      <c r="D367" s="4">
        <v>100</v>
      </c>
      <c r="E367" s="5">
        <v>0.78</v>
      </c>
      <c r="F367" s="4">
        <v>117</v>
      </c>
      <c r="G367" s="5">
        <v>1.8080444068069009E-4</v>
      </c>
    </row>
    <row r="368" spans="1:7" ht="23.05" customHeight="1">
      <c r="A368" s="4">
        <v>1000</v>
      </c>
      <c r="B368" s="4" t="s">
        <v>45</v>
      </c>
      <c r="C368" s="4">
        <v>79</v>
      </c>
      <c r="D368" s="4">
        <v>100</v>
      </c>
      <c r="E368" s="5">
        <v>0.79</v>
      </c>
      <c r="F368" s="4">
        <v>105</v>
      </c>
      <c r="G368" s="5">
        <v>1.622603954826706E-4</v>
      </c>
    </row>
    <row r="369" spans="1:7" ht="23.05" customHeight="1">
      <c r="A369" s="4">
        <v>1000</v>
      </c>
      <c r="B369" s="4" t="s">
        <v>45</v>
      </c>
      <c r="C369" s="4">
        <v>80</v>
      </c>
      <c r="D369" s="4">
        <v>100</v>
      </c>
      <c r="E369" s="5">
        <v>0.8</v>
      </c>
      <c r="F369" s="4">
        <v>128</v>
      </c>
      <c r="G369" s="5">
        <v>1.9780314877887461E-4</v>
      </c>
    </row>
    <row r="370" spans="1:7" ht="23.05" customHeight="1">
      <c r="A370" s="4">
        <v>1000</v>
      </c>
      <c r="B370" s="4" t="s">
        <v>45</v>
      </c>
      <c r="C370" s="4">
        <v>81</v>
      </c>
      <c r="D370" s="4">
        <v>100</v>
      </c>
      <c r="E370" s="5">
        <v>0.81</v>
      </c>
      <c r="F370" s="4">
        <v>105</v>
      </c>
      <c r="G370" s="5">
        <v>1.622603954826706E-4</v>
      </c>
    </row>
    <row r="371" spans="1:7" ht="23.05" customHeight="1">
      <c r="A371" s="4">
        <v>1000</v>
      </c>
      <c r="B371" s="4" t="s">
        <v>45</v>
      </c>
      <c r="C371" s="4">
        <v>82</v>
      </c>
      <c r="D371" s="4">
        <v>100</v>
      </c>
      <c r="E371" s="5">
        <v>0.82</v>
      </c>
      <c r="F371" s="4">
        <v>113</v>
      </c>
      <c r="G371" s="5">
        <v>1.7462309228135026E-4</v>
      </c>
    </row>
    <row r="372" spans="1:7" ht="23.05" customHeight="1">
      <c r="A372" s="4">
        <v>1000</v>
      </c>
      <c r="B372" s="4" t="s">
        <v>45</v>
      </c>
      <c r="C372" s="4">
        <v>83</v>
      </c>
      <c r="D372" s="4">
        <v>100</v>
      </c>
      <c r="E372" s="5">
        <v>0.83</v>
      </c>
      <c r="F372" s="4">
        <v>132</v>
      </c>
      <c r="G372" s="5">
        <v>2.0398449717821447E-4</v>
      </c>
    </row>
    <row r="373" spans="1:7" ht="23.05" customHeight="1">
      <c r="A373" s="4">
        <v>1000</v>
      </c>
      <c r="B373" s="4" t="s">
        <v>45</v>
      </c>
      <c r="C373" s="4">
        <v>84</v>
      </c>
      <c r="D373" s="4">
        <v>100</v>
      </c>
      <c r="E373" s="5">
        <v>0.84</v>
      </c>
      <c r="F373" s="4">
        <v>123</v>
      </c>
      <c r="G373" s="5">
        <v>1.9007646327969983E-4</v>
      </c>
    </row>
    <row r="374" spans="1:7" ht="23.05" customHeight="1">
      <c r="A374" s="4">
        <v>1000</v>
      </c>
      <c r="B374" s="4" t="s">
        <v>45</v>
      </c>
      <c r="C374" s="4">
        <v>85</v>
      </c>
      <c r="D374" s="4">
        <v>100</v>
      </c>
      <c r="E374" s="5">
        <v>0.85</v>
      </c>
      <c r="F374" s="4">
        <v>98</v>
      </c>
      <c r="G374" s="5">
        <v>1.5144303578382587E-4</v>
      </c>
    </row>
    <row r="375" spans="1:7" ht="23.05" customHeight="1">
      <c r="A375" s="4">
        <v>1000</v>
      </c>
      <c r="B375" s="4" t="s">
        <v>45</v>
      </c>
      <c r="C375" s="4">
        <v>86</v>
      </c>
      <c r="D375" s="4">
        <v>100</v>
      </c>
      <c r="E375" s="5">
        <v>0.86</v>
      </c>
      <c r="F375" s="4">
        <v>122</v>
      </c>
      <c r="G375" s="5">
        <v>1.8853112617986487E-4</v>
      </c>
    </row>
    <row r="376" spans="1:7" ht="23.05" customHeight="1">
      <c r="A376" s="4">
        <v>1000</v>
      </c>
      <c r="B376" s="4" t="s">
        <v>45</v>
      </c>
      <c r="C376" s="4">
        <v>87</v>
      </c>
      <c r="D376" s="4">
        <v>100</v>
      </c>
      <c r="E376" s="5">
        <v>0.87</v>
      </c>
      <c r="F376" s="4">
        <v>96</v>
      </c>
      <c r="G376" s="5">
        <v>1.4835236158415596E-4</v>
      </c>
    </row>
    <row r="377" spans="1:7" ht="23.05" customHeight="1">
      <c r="A377" s="4">
        <v>1000</v>
      </c>
      <c r="B377" s="4" t="s">
        <v>45</v>
      </c>
      <c r="C377" s="4">
        <v>88</v>
      </c>
      <c r="D377" s="4">
        <v>100</v>
      </c>
      <c r="E377" s="5">
        <v>0.88</v>
      </c>
      <c r="F377" s="4">
        <v>96</v>
      </c>
      <c r="G377" s="5">
        <v>1.4835236158415596E-4</v>
      </c>
    </row>
    <row r="378" spans="1:7" ht="23.05" customHeight="1">
      <c r="A378" s="4">
        <v>1000</v>
      </c>
      <c r="B378" s="4" t="s">
        <v>45</v>
      </c>
      <c r="C378" s="4">
        <v>89</v>
      </c>
      <c r="D378" s="4">
        <v>100</v>
      </c>
      <c r="E378" s="5">
        <v>0.89</v>
      </c>
      <c r="F378" s="4">
        <v>82</v>
      </c>
      <c r="G378" s="5">
        <v>1.2671764218646656E-4</v>
      </c>
    </row>
    <row r="379" spans="1:7" ht="23.05" customHeight="1">
      <c r="A379" s="4">
        <v>1000</v>
      </c>
      <c r="B379" s="4" t="s">
        <v>45</v>
      </c>
      <c r="C379" s="4">
        <v>90</v>
      </c>
      <c r="D379" s="4">
        <v>100</v>
      </c>
      <c r="E379" s="5">
        <v>0.9</v>
      </c>
      <c r="F379" s="4">
        <v>71</v>
      </c>
      <c r="G379" s="5">
        <v>1.0971893408828202E-4</v>
      </c>
    </row>
    <row r="380" spans="1:7" ht="23.05" customHeight="1">
      <c r="A380" s="4">
        <v>1000</v>
      </c>
      <c r="B380" s="4" t="s">
        <v>45</v>
      </c>
      <c r="C380" s="4">
        <v>91</v>
      </c>
      <c r="D380" s="4">
        <v>100</v>
      </c>
      <c r="E380" s="5">
        <v>0.91</v>
      </c>
      <c r="F380" s="4">
        <v>65</v>
      </c>
      <c r="G380" s="5">
        <v>1.0044691148927226E-4</v>
      </c>
    </row>
    <row r="381" spans="1:7" ht="23.05" customHeight="1">
      <c r="A381" s="4">
        <v>1000</v>
      </c>
      <c r="B381" s="4" t="s">
        <v>45</v>
      </c>
      <c r="C381" s="4">
        <v>92</v>
      </c>
      <c r="D381" s="4">
        <v>100</v>
      </c>
      <c r="E381" s="5">
        <v>0.92</v>
      </c>
      <c r="F381" s="4">
        <v>52</v>
      </c>
      <c r="G381" s="5">
        <v>8.0357529191417822E-5</v>
      </c>
    </row>
    <row r="382" spans="1:7" ht="23.05" customHeight="1">
      <c r="A382" s="4">
        <v>1000</v>
      </c>
      <c r="B382" s="4" t="s">
        <v>45</v>
      </c>
      <c r="C382" s="4">
        <v>93</v>
      </c>
      <c r="D382" s="4">
        <v>100</v>
      </c>
      <c r="E382" s="5">
        <v>0.93</v>
      </c>
      <c r="F382" s="4">
        <v>58</v>
      </c>
      <c r="G382" s="5">
        <v>8.9629551790427564E-5</v>
      </c>
    </row>
    <row r="383" spans="1:7" ht="23.05" customHeight="1">
      <c r="A383" s="4">
        <v>1000</v>
      </c>
      <c r="B383" s="4" t="s">
        <v>45</v>
      </c>
      <c r="C383" s="4">
        <v>94</v>
      </c>
      <c r="D383" s="4">
        <v>100</v>
      </c>
      <c r="E383" s="5">
        <v>0.94</v>
      </c>
      <c r="F383" s="4">
        <v>59</v>
      </c>
      <c r="G383" s="5">
        <v>9.1174888890262521E-5</v>
      </c>
    </row>
    <row r="384" spans="1:7" ht="23.05" customHeight="1">
      <c r="A384" s="4">
        <v>1000</v>
      </c>
      <c r="B384" s="4" t="s">
        <v>45</v>
      </c>
      <c r="C384" s="4">
        <v>95</v>
      </c>
      <c r="D384" s="4">
        <v>100</v>
      </c>
      <c r="E384" s="5">
        <v>0.95</v>
      </c>
      <c r="F384" s="4">
        <v>66</v>
      </c>
      <c r="G384" s="5">
        <v>1.0199224858910723E-4</v>
      </c>
    </row>
    <row r="385" spans="1:7" ht="23.05" customHeight="1">
      <c r="A385" s="4">
        <v>1000</v>
      </c>
      <c r="B385" s="4" t="s">
        <v>45</v>
      </c>
      <c r="C385" s="4">
        <v>96</v>
      </c>
      <c r="D385" s="4">
        <v>100</v>
      </c>
      <c r="E385" s="5">
        <v>0.96</v>
      </c>
      <c r="F385" s="4">
        <v>65</v>
      </c>
      <c r="G385" s="5">
        <v>1.0044691148927226E-4</v>
      </c>
    </row>
    <row r="386" spans="1:7" ht="23.05" customHeight="1">
      <c r="A386" s="4">
        <v>1000</v>
      </c>
      <c r="B386" s="4" t="s">
        <v>45</v>
      </c>
      <c r="C386" s="4">
        <v>97</v>
      </c>
      <c r="D386" s="4">
        <v>100</v>
      </c>
      <c r="E386" s="5">
        <v>0.97</v>
      </c>
      <c r="F386" s="4">
        <v>83</v>
      </c>
      <c r="G386" s="5">
        <v>1.2826297928630152E-4</v>
      </c>
    </row>
    <row r="387" spans="1:7" ht="23.05" customHeight="1">
      <c r="A387" s="4">
        <v>1000</v>
      </c>
      <c r="B387" s="4" t="s">
        <v>45</v>
      </c>
      <c r="C387" s="4">
        <v>98</v>
      </c>
      <c r="D387" s="4">
        <v>100</v>
      </c>
      <c r="E387" s="5">
        <v>0.98</v>
      </c>
      <c r="F387" s="4">
        <v>78</v>
      </c>
      <c r="G387" s="5">
        <v>1.2053629378712672E-4</v>
      </c>
    </row>
    <row r="388" spans="1:7" ht="23.05" customHeight="1">
      <c r="A388" s="4">
        <v>1000</v>
      </c>
      <c r="B388" s="4" t="s">
        <v>45</v>
      </c>
      <c r="C388" s="4">
        <v>99</v>
      </c>
      <c r="D388" s="4">
        <v>100</v>
      </c>
      <c r="E388" s="5">
        <v>0.99</v>
      </c>
      <c r="F388" s="4">
        <v>116</v>
      </c>
      <c r="G388" s="5">
        <v>1.7925910358085513E-4</v>
      </c>
    </row>
    <row r="389" spans="1:7" ht="23.05" customHeight="1">
      <c r="A389" s="4">
        <v>1000</v>
      </c>
      <c r="B389" s="4" t="s">
        <v>45</v>
      </c>
      <c r="C389" s="4">
        <v>100</v>
      </c>
      <c r="D389" s="4">
        <v>100</v>
      </c>
      <c r="E389" s="5">
        <v>1</v>
      </c>
      <c r="F389" s="4">
        <v>3301</v>
      </c>
      <c r="G389" s="5">
        <v>5.1011577665551963E-3</v>
      </c>
    </row>
    <row r="390" spans="1:7" ht="23.05" customHeight="1">
      <c r="A390" s="4">
        <v>1000</v>
      </c>
      <c r="B390" s="4" t="s">
        <v>47</v>
      </c>
      <c r="C390" s="4">
        <v>1</v>
      </c>
      <c r="D390" s="4">
        <v>100</v>
      </c>
      <c r="E390" s="5">
        <v>0.01</v>
      </c>
      <c r="F390" s="4">
        <v>63</v>
      </c>
      <c r="G390" s="5">
        <v>3.0288461538461538E-2</v>
      </c>
    </row>
    <row r="391" spans="1:7" ht="23.05" customHeight="1">
      <c r="A391" s="4">
        <v>1000</v>
      </c>
      <c r="B391" s="4" t="s">
        <v>47</v>
      </c>
      <c r="C391" s="4">
        <v>2</v>
      </c>
      <c r="D391" s="4">
        <v>100</v>
      </c>
      <c r="E391" s="5">
        <v>0.02</v>
      </c>
      <c r="F391" s="4">
        <v>153</v>
      </c>
      <c r="G391" s="5">
        <v>7.355769230769231E-2</v>
      </c>
    </row>
    <row r="392" spans="1:7" ht="23.05" customHeight="1">
      <c r="A392" s="4">
        <v>1000</v>
      </c>
      <c r="B392" s="4" t="s">
        <v>47</v>
      </c>
      <c r="C392" s="4">
        <v>3</v>
      </c>
      <c r="D392" s="4">
        <v>100</v>
      </c>
      <c r="E392" s="5">
        <v>0.03</v>
      </c>
      <c r="F392" s="4">
        <v>112</v>
      </c>
      <c r="G392" s="5">
        <v>5.3846153846153849E-2</v>
      </c>
    </row>
    <row r="393" spans="1:7" ht="23.05" customHeight="1">
      <c r="A393" s="4">
        <v>1000</v>
      </c>
      <c r="B393" s="4" t="s">
        <v>47</v>
      </c>
      <c r="C393" s="4">
        <v>4</v>
      </c>
      <c r="D393" s="4">
        <v>100</v>
      </c>
      <c r="E393" s="5">
        <v>0.04</v>
      </c>
      <c r="F393" s="4">
        <v>85</v>
      </c>
      <c r="G393" s="5">
        <v>4.0865384615384616E-2</v>
      </c>
    </row>
    <row r="394" spans="1:7" ht="23.05" customHeight="1">
      <c r="A394" s="4">
        <v>1000</v>
      </c>
      <c r="B394" s="4" t="s">
        <v>47</v>
      </c>
      <c r="C394" s="4">
        <v>5</v>
      </c>
      <c r="D394" s="4">
        <v>100</v>
      </c>
      <c r="E394" s="5">
        <v>0.05</v>
      </c>
      <c r="F394" s="4">
        <v>53</v>
      </c>
      <c r="G394" s="5">
        <v>2.548076923076923E-2</v>
      </c>
    </row>
    <row r="395" spans="1:7" ht="23.05" customHeight="1">
      <c r="A395" s="4">
        <v>1000</v>
      </c>
      <c r="B395" s="4" t="s">
        <v>47</v>
      </c>
      <c r="C395" s="4">
        <v>6</v>
      </c>
      <c r="D395" s="4">
        <v>100</v>
      </c>
      <c r="E395" s="5">
        <v>0.06</v>
      </c>
      <c r="F395" s="4">
        <v>41</v>
      </c>
      <c r="G395" s="5">
        <v>1.9711538461538461E-2</v>
      </c>
    </row>
    <row r="396" spans="1:7" ht="23.05" customHeight="1">
      <c r="A396" s="4">
        <v>1000</v>
      </c>
      <c r="B396" s="4" t="s">
        <v>47</v>
      </c>
      <c r="C396" s="4">
        <v>7</v>
      </c>
      <c r="D396" s="4">
        <v>100</v>
      </c>
      <c r="E396" s="5">
        <v>7.0000000000000007E-2</v>
      </c>
      <c r="F396" s="4">
        <v>42</v>
      </c>
      <c r="G396" s="5">
        <v>2.0192307692307693E-2</v>
      </c>
    </row>
    <row r="397" spans="1:7" ht="23.05" customHeight="1">
      <c r="A397" s="4">
        <v>1000</v>
      </c>
      <c r="B397" s="4" t="s">
        <v>47</v>
      </c>
      <c r="C397" s="4">
        <v>8</v>
      </c>
      <c r="D397" s="4">
        <v>100</v>
      </c>
      <c r="E397" s="5">
        <v>0.08</v>
      </c>
      <c r="F397" s="4">
        <v>52</v>
      </c>
      <c r="G397" s="5">
        <v>2.5000000000000001E-2</v>
      </c>
    </row>
    <row r="398" spans="1:7" ht="23.05" customHeight="1">
      <c r="A398" s="4">
        <v>1000</v>
      </c>
      <c r="B398" s="4" t="s">
        <v>47</v>
      </c>
      <c r="C398" s="4">
        <v>9</v>
      </c>
      <c r="D398" s="4">
        <v>100</v>
      </c>
      <c r="E398" s="5">
        <v>0.09</v>
      </c>
      <c r="F398" s="4">
        <v>40</v>
      </c>
      <c r="G398" s="5">
        <v>1.9230769230769232E-2</v>
      </c>
    </row>
    <row r="399" spans="1:7" ht="23.05" customHeight="1">
      <c r="A399" s="4">
        <v>1000</v>
      </c>
      <c r="B399" s="4" t="s">
        <v>47</v>
      </c>
      <c r="C399" s="4">
        <v>10</v>
      </c>
      <c r="D399" s="4">
        <v>100</v>
      </c>
      <c r="E399" s="5">
        <v>0.1</v>
      </c>
      <c r="F399" s="4">
        <v>41</v>
      </c>
      <c r="G399" s="5">
        <v>1.9711538461538461E-2</v>
      </c>
    </row>
    <row r="400" spans="1:7" ht="23.05" customHeight="1">
      <c r="A400" s="4">
        <v>1000</v>
      </c>
      <c r="B400" s="4" t="s">
        <v>47</v>
      </c>
      <c r="C400" s="4">
        <v>11</v>
      </c>
      <c r="D400" s="4">
        <v>100</v>
      </c>
      <c r="E400" s="5">
        <v>0.11</v>
      </c>
      <c r="F400" s="4">
        <v>36</v>
      </c>
      <c r="G400" s="5">
        <v>1.7307692307692309E-2</v>
      </c>
    </row>
    <row r="401" spans="1:7" ht="23.05" customHeight="1">
      <c r="A401" s="4">
        <v>1000</v>
      </c>
      <c r="B401" s="4" t="s">
        <v>47</v>
      </c>
      <c r="C401" s="4">
        <v>12</v>
      </c>
      <c r="D401" s="4">
        <v>100</v>
      </c>
      <c r="E401" s="5">
        <v>0.12</v>
      </c>
      <c r="F401" s="4">
        <v>27</v>
      </c>
      <c r="G401" s="5">
        <v>1.2980769230769231E-2</v>
      </c>
    </row>
    <row r="402" spans="1:7" ht="23.05" customHeight="1">
      <c r="A402" s="4">
        <v>1000</v>
      </c>
      <c r="B402" s="4" t="s">
        <v>47</v>
      </c>
      <c r="C402" s="4">
        <v>13</v>
      </c>
      <c r="D402" s="4">
        <v>100</v>
      </c>
      <c r="E402" s="5">
        <v>0.13</v>
      </c>
      <c r="F402" s="4">
        <v>39</v>
      </c>
      <c r="G402" s="5">
        <v>1.8749999999999999E-2</v>
      </c>
    </row>
    <row r="403" spans="1:7" ht="23.05" customHeight="1">
      <c r="A403" s="4">
        <v>1000</v>
      </c>
      <c r="B403" s="4" t="s">
        <v>47</v>
      </c>
      <c r="C403" s="4">
        <v>14</v>
      </c>
      <c r="D403" s="4">
        <v>100</v>
      </c>
      <c r="E403" s="5">
        <v>0.14000000000000001</v>
      </c>
      <c r="F403" s="4">
        <v>40</v>
      </c>
      <c r="G403" s="5">
        <v>1.9230769230769232E-2</v>
      </c>
    </row>
    <row r="404" spans="1:7" ht="23.05" customHeight="1">
      <c r="A404" s="4">
        <v>1000</v>
      </c>
      <c r="B404" s="4" t="s">
        <v>47</v>
      </c>
      <c r="C404" s="4">
        <v>15</v>
      </c>
      <c r="D404" s="4">
        <v>100</v>
      </c>
      <c r="E404" s="5">
        <v>0.15</v>
      </c>
      <c r="F404" s="4">
        <v>33</v>
      </c>
      <c r="G404" s="5">
        <v>1.5865384615384615E-2</v>
      </c>
    </row>
    <row r="405" spans="1:7" ht="23.05" customHeight="1">
      <c r="A405" s="4">
        <v>1000</v>
      </c>
      <c r="B405" s="4" t="s">
        <v>47</v>
      </c>
      <c r="C405" s="4">
        <v>16</v>
      </c>
      <c r="D405" s="4">
        <v>100</v>
      </c>
      <c r="E405" s="5">
        <v>0.16</v>
      </c>
      <c r="F405" s="4">
        <v>29</v>
      </c>
      <c r="G405" s="5">
        <v>1.3942307692307693E-2</v>
      </c>
    </row>
    <row r="406" spans="1:7" ht="23.05" customHeight="1">
      <c r="A406" s="4">
        <v>1000</v>
      </c>
      <c r="B406" s="4" t="s">
        <v>47</v>
      </c>
      <c r="C406" s="4">
        <v>17</v>
      </c>
      <c r="D406" s="4">
        <v>100</v>
      </c>
      <c r="E406" s="5">
        <v>0.17</v>
      </c>
      <c r="F406" s="4">
        <v>28</v>
      </c>
      <c r="G406" s="5">
        <v>1.3461538461538462E-2</v>
      </c>
    </row>
    <row r="407" spans="1:7" ht="23.05" customHeight="1">
      <c r="A407" s="4">
        <v>1000</v>
      </c>
      <c r="B407" s="4" t="s">
        <v>47</v>
      </c>
      <c r="C407" s="4">
        <v>18</v>
      </c>
      <c r="D407" s="4">
        <v>100</v>
      </c>
      <c r="E407" s="5">
        <v>0.18</v>
      </c>
      <c r="F407" s="4">
        <v>28</v>
      </c>
      <c r="G407" s="5">
        <v>1.3461538461538462E-2</v>
      </c>
    </row>
    <row r="408" spans="1:7" ht="23.05" customHeight="1">
      <c r="A408" s="4">
        <v>1000</v>
      </c>
      <c r="B408" s="4" t="s">
        <v>47</v>
      </c>
      <c r="C408" s="4">
        <v>19</v>
      </c>
      <c r="D408" s="4">
        <v>100</v>
      </c>
      <c r="E408" s="5">
        <v>0.19</v>
      </c>
      <c r="F408" s="4">
        <v>35</v>
      </c>
      <c r="G408" s="5">
        <v>1.6826923076923076E-2</v>
      </c>
    </row>
    <row r="409" spans="1:7" ht="23.05" customHeight="1">
      <c r="A409" s="4">
        <v>1000</v>
      </c>
      <c r="B409" s="4" t="s">
        <v>47</v>
      </c>
      <c r="C409" s="4">
        <v>20</v>
      </c>
      <c r="D409" s="4">
        <v>100</v>
      </c>
      <c r="E409" s="5">
        <v>0.2</v>
      </c>
      <c r="F409" s="4">
        <v>26</v>
      </c>
      <c r="G409" s="5">
        <v>1.2500000000000001E-2</v>
      </c>
    </row>
    <row r="410" spans="1:7" ht="23.05" customHeight="1">
      <c r="A410" s="4">
        <v>1000</v>
      </c>
      <c r="B410" s="4" t="s">
        <v>47</v>
      </c>
      <c r="C410" s="4">
        <v>21</v>
      </c>
      <c r="D410" s="4">
        <v>100</v>
      </c>
      <c r="E410" s="5">
        <v>0.21</v>
      </c>
      <c r="F410" s="4">
        <v>36</v>
      </c>
      <c r="G410" s="5">
        <v>1.7307692307692309E-2</v>
      </c>
    </row>
    <row r="411" spans="1:7" ht="23.05" customHeight="1">
      <c r="A411" s="4">
        <v>1000</v>
      </c>
      <c r="B411" s="4" t="s">
        <v>47</v>
      </c>
      <c r="C411" s="4">
        <v>22</v>
      </c>
      <c r="D411" s="4">
        <v>100</v>
      </c>
      <c r="E411" s="5">
        <v>0.22</v>
      </c>
      <c r="F411" s="4">
        <v>35</v>
      </c>
      <c r="G411" s="5">
        <v>1.6826923076923076E-2</v>
      </c>
    </row>
    <row r="412" spans="1:7" ht="23.05" customHeight="1">
      <c r="A412" s="4">
        <v>1000</v>
      </c>
      <c r="B412" s="4" t="s">
        <v>47</v>
      </c>
      <c r="C412" s="4">
        <v>23</v>
      </c>
      <c r="D412" s="4">
        <v>100</v>
      </c>
      <c r="E412" s="5">
        <v>0.23</v>
      </c>
      <c r="F412" s="4">
        <v>29</v>
      </c>
      <c r="G412" s="5">
        <v>1.3942307692307693E-2</v>
      </c>
    </row>
    <row r="413" spans="1:7" ht="23.05" customHeight="1">
      <c r="A413" s="4">
        <v>1000</v>
      </c>
      <c r="B413" s="4" t="s">
        <v>47</v>
      </c>
      <c r="C413" s="4">
        <v>24</v>
      </c>
      <c r="D413" s="4">
        <v>100</v>
      </c>
      <c r="E413" s="5">
        <v>0.24</v>
      </c>
      <c r="F413" s="4">
        <v>23</v>
      </c>
      <c r="G413" s="5">
        <v>1.1057692307692308E-2</v>
      </c>
    </row>
    <row r="414" spans="1:7" ht="23.05" customHeight="1">
      <c r="A414" s="4">
        <v>1000</v>
      </c>
      <c r="B414" s="4" t="s">
        <v>47</v>
      </c>
      <c r="C414" s="4">
        <v>25</v>
      </c>
      <c r="D414" s="4">
        <v>100</v>
      </c>
      <c r="E414" s="5">
        <v>0.25</v>
      </c>
      <c r="F414" s="4">
        <v>32</v>
      </c>
      <c r="G414" s="5">
        <v>1.5384615384615385E-2</v>
      </c>
    </row>
    <row r="415" spans="1:7" ht="23.05" customHeight="1">
      <c r="A415" s="4">
        <v>1000</v>
      </c>
      <c r="B415" s="4" t="s">
        <v>47</v>
      </c>
      <c r="C415" s="4">
        <v>26</v>
      </c>
      <c r="D415" s="4">
        <v>100</v>
      </c>
      <c r="E415" s="5">
        <v>0.26</v>
      </c>
      <c r="F415" s="4">
        <v>25</v>
      </c>
      <c r="G415" s="5">
        <v>1.201923076923077E-2</v>
      </c>
    </row>
    <row r="416" spans="1:7" ht="23.05" customHeight="1">
      <c r="A416" s="4">
        <v>1000</v>
      </c>
      <c r="B416" s="4" t="s">
        <v>47</v>
      </c>
      <c r="C416" s="4">
        <v>27</v>
      </c>
      <c r="D416" s="4">
        <v>100</v>
      </c>
      <c r="E416" s="5">
        <v>0.27</v>
      </c>
      <c r="F416" s="4">
        <v>27</v>
      </c>
      <c r="G416" s="5">
        <v>1.2980769230769231E-2</v>
      </c>
    </row>
    <row r="417" spans="1:7" ht="23.05" customHeight="1">
      <c r="A417" s="4">
        <v>1000</v>
      </c>
      <c r="B417" s="4" t="s">
        <v>47</v>
      </c>
      <c r="C417" s="4">
        <v>28</v>
      </c>
      <c r="D417" s="4">
        <v>100</v>
      </c>
      <c r="E417" s="5">
        <v>0.28000000000000003</v>
      </c>
      <c r="F417" s="4">
        <v>34</v>
      </c>
      <c r="G417" s="5">
        <v>1.6346153846153847E-2</v>
      </c>
    </row>
    <row r="418" spans="1:7" ht="23.05" customHeight="1">
      <c r="A418" s="4">
        <v>1000</v>
      </c>
      <c r="B418" s="4" t="s">
        <v>47</v>
      </c>
      <c r="C418" s="4">
        <v>29</v>
      </c>
      <c r="D418" s="4">
        <v>100</v>
      </c>
      <c r="E418" s="5">
        <v>0.28999999999999998</v>
      </c>
      <c r="F418" s="4">
        <v>33</v>
      </c>
      <c r="G418" s="5">
        <v>1.5865384615384615E-2</v>
      </c>
    </row>
    <row r="419" spans="1:7" ht="23.05" customHeight="1">
      <c r="A419" s="4">
        <v>1000</v>
      </c>
      <c r="B419" s="4" t="s">
        <v>47</v>
      </c>
      <c r="C419" s="4">
        <v>30</v>
      </c>
      <c r="D419" s="4">
        <v>100</v>
      </c>
      <c r="E419" s="5">
        <v>0.3</v>
      </c>
      <c r="F419" s="4">
        <v>29</v>
      </c>
      <c r="G419" s="5">
        <v>1.3942307692307693E-2</v>
      </c>
    </row>
    <row r="420" spans="1:7" ht="23.05" customHeight="1">
      <c r="A420" s="4">
        <v>1000</v>
      </c>
      <c r="B420" s="4" t="s">
        <v>47</v>
      </c>
      <c r="C420" s="4">
        <v>31</v>
      </c>
      <c r="D420" s="4">
        <v>100</v>
      </c>
      <c r="E420" s="5">
        <v>0.31</v>
      </c>
      <c r="F420" s="4">
        <v>24</v>
      </c>
      <c r="G420" s="5">
        <v>1.1538461538461539E-2</v>
      </c>
    </row>
    <row r="421" spans="1:7" ht="23.05" customHeight="1">
      <c r="A421" s="4">
        <v>1000</v>
      </c>
      <c r="B421" s="4" t="s">
        <v>47</v>
      </c>
      <c r="C421" s="4">
        <v>32</v>
      </c>
      <c r="D421" s="4">
        <v>100</v>
      </c>
      <c r="E421" s="5">
        <v>0.32</v>
      </c>
      <c r="F421" s="4">
        <v>14</v>
      </c>
      <c r="G421" s="5">
        <v>6.7307692307692311E-3</v>
      </c>
    </row>
    <row r="422" spans="1:7" ht="23.05" customHeight="1">
      <c r="A422" s="4">
        <v>1000</v>
      </c>
      <c r="B422" s="4" t="s">
        <v>47</v>
      </c>
      <c r="C422" s="4">
        <v>33</v>
      </c>
      <c r="D422" s="4">
        <v>100</v>
      </c>
      <c r="E422" s="5">
        <v>0.33</v>
      </c>
      <c r="F422" s="4">
        <v>21</v>
      </c>
      <c r="G422" s="5">
        <v>1.0096153846153847E-2</v>
      </c>
    </row>
    <row r="423" spans="1:7" ht="23.05" customHeight="1">
      <c r="A423" s="4">
        <v>1000</v>
      </c>
      <c r="B423" s="4" t="s">
        <v>47</v>
      </c>
      <c r="C423" s="4">
        <v>34</v>
      </c>
      <c r="D423" s="4">
        <v>100</v>
      </c>
      <c r="E423" s="5">
        <v>0.34</v>
      </c>
      <c r="F423" s="4">
        <v>30</v>
      </c>
      <c r="G423" s="5">
        <v>1.4423076923076924E-2</v>
      </c>
    </row>
    <row r="424" spans="1:7" ht="23.05" customHeight="1">
      <c r="A424" s="4">
        <v>1000</v>
      </c>
      <c r="B424" s="4" t="s">
        <v>47</v>
      </c>
      <c r="C424" s="4">
        <v>35</v>
      </c>
      <c r="D424" s="4">
        <v>100</v>
      </c>
      <c r="E424" s="5">
        <v>0.35</v>
      </c>
      <c r="F424" s="4">
        <v>26</v>
      </c>
      <c r="G424" s="5">
        <v>1.2500000000000001E-2</v>
      </c>
    </row>
    <row r="425" spans="1:7" ht="23.05" customHeight="1">
      <c r="A425" s="4">
        <v>1000</v>
      </c>
      <c r="B425" s="4" t="s">
        <v>47</v>
      </c>
      <c r="C425" s="4">
        <v>36</v>
      </c>
      <c r="D425" s="4">
        <v>100</v>
      </c>
      <c r="E425" s="5">
        <v>0.36</v>
      </c>
      <c r="F425" s="4">
        <v>18</v>
      </c>
      <c r="G425" s="5">
        <v>8.6538461538461543E-3</v>
      </c>
    </row>
    <row r="426" spans="1:7" ht="23.05" customHeight="1">
      <c r="A426" s="4">
        <v>1000</v>
      </c>
      <c r="B426" s="4" t="s">
        <v>47</v>
      </c>
      <c r="C426" s="4">
        <v>37</v>
      </c>
      <c r="D426" s="4">
        <v>100</v>
      </c>
      <c r="E426" s="5">
        <v>0.37</v>
      </c>
      <c r="F426" s="4">
        <v>14</v>
      </c>
      <c r="G426" s="5">
        <v>6.7307692307692311E-3</v>
      </c>
    </row>
    <row r="427" spans="1:7" ht="23.05" customHeight="1">
      <c r="A427" s="4">
        <v>1000</v>
      </c>
      <c r="B427" s="4" t="s">
        <v>47</v>
      </c>
      <c r="C427" s="4">
        <v>38</v>
      </c>
      <c r="D427" s="4">
        <v>100</v>
      </c>
      <c r="E427" s="5">
        <v>0.38</v>
      </c>
      <c r="F427" s="4">
        <v>16</v>
      </c>
      <c r="G427" s="5">
        <v>7.6923076923076927E-3</v>
      </c>
    </row>
    <row r="428" spans="1:7" ht="23.05" customHeight="1">
      <c r="A428" s="4">
        <v>1000</v>
      </c>
      <c r="B428" s="4" t="s">
        <v>47</v>
      </c>
      <c r="C428" s="4">
        <v>39</v>
      </c>
      <c r="D428" s="4">
        <v>100</v>
      </c>
      <c r="E428" s="5">
        <v>0.39</v>
      </c>
      <c r="F428" s="4">
        <v>17</v>
      </c>
      <c r="G428" s="5">
        <v>8.1730769230769235E-3</v>
      </c>
    </row>
    <row r="429" spans="1:7" ht="23.05" customHeight="1">
      <c r="A429" s="4">
        <v>1000</v>
      </c>
      <c r="B429" s="4" t="s">
        <v>47</v>
      </c>
      <c r="C429" s="4">
        <v>40</v>
      </c>
      <c r="D429" s="4">
        <v>100</v>
      </c>
      <c r="E429" s="5">
        <v>0.4</v>
      </c>
      <c r="F429" s="4">
        <v>18</v>
      </c>
      <c r="G429" s="5">
        <v>8.6538461538461543E-3</v>
      </c>
    </row>
    <row r="430" spans="1:7" ht="23.05" customHeight="1">
      <c r="A430" s="4">
        <v>1000</v>
      </c>
      <c r="B430" s="4" t="s">
        <v>47</v>
      </c>
      <c r="C430" s="4">
        <v>41</v>
      </c>
      <c r="D430" s="4">
        <v>100</v>
      </c>
      <c r="E430" s="5">
        <v>0.41</v>
      </c>
      <c r="F430" s="4">
        <v>24</v>
      </c>
      <c r="G430" s="5">
        <v>1.1538461538461539E-2</v>
      </c>
    </row>
    <row r="431" spans="1:7" ht="23.05" customHeight="1">
      <c r="A431" s="4">
        <v>1000</v>
      </c>
      <c r="B431" s="4" t="s">
        <v>47</v>
      </c>
      <c r="C431" s="4">
        <v>42</v>
      </c>
      <c r="D431" s="4">
        <v>100</v>
      </c>
      <c r="E431" s="5">
        <v>0.42</v>
      </c>
      <c r="F431" s="4">
        <v>19</v>
      </c>
      <c r="G431" s="5">
        <v>9.1346153846153851E-3</v>
      </c>
    </row>
    <row r="432" spans="1:7" ht="23.05" customHeight="1">
      <c r="A432" s="4">
        <v>1000</v>
      </c>
      <c r="B432" s="4" t="s">
        <v>47</v>
      </c>
      <c r="C432" s="4">
        <v>43</v>
      </c>
      <c r="D432" s="4">
        <v>100</v>
      </c>
      <c r="E432" s="5">
        <v>0.43</v>
      </c>
      <c r="F432" s="4">
        <v>12</v>
      </c>
      <c r="G432" s="5">
        <v>5.7692307692307696E-3</v>
      </c>
    </row>
    <row r="433" spans="1:7" ht="23.05" customHeight="1">
      <c r="A433" s="4">
        <v>1000</v>
      </c>
      <c r="B433" s="4" t="s">
        <v>47</v>
      </c>
      <c r="C433" s="4">
        <v>44</v>
      </c>
      <c r="D433" s="4">
        <v>100</v>
      </c>
      <c r="E433" s="5">
        <v>0.44</v>
      </c>
      <c r="F433" s="4">
        <v>14</v>
      </c>
      <c r="G433" s="5">
        <v>6.7307692307692311E-3</v>
      </c>
    </row>
    <row r="434" spans="1:7" ht="23.05" customHeight="1">
      <c r="A434" s="4">
        <v>1000</v>
      </c>
      <c r="B434" s="4" t="s">
        <v>47</v>
      </c>
      <c r="C434" s="4">
        <v>45</v>
      </c>
      <c r="D434" s="4">
        <v>100</v>
      </c>
      <c r="E434" s="5">
        <v>0.45</v>
      </c>
      <c r="F434" s="4">
        <v>10</v>
      </c>
      <c r="G434" s="5">
        <v>4.807692307692308E-3</v>
      </c>
    </row>
    <row r="435" spans="1:7" ht="23.05" customHeight="1">
      <c r="A435" s="4">
        <v>1000</v>
      </c>
      <c r="B435" s="4" t="s">
        <v>47</v>
      </c>
      <c r="C435" s="4">
        <v>46</v>
      </c>
      <c r="D435" s="4">
        <v>100</v>
      </c>
      <c r="E435" s="5">
        <v>0.46</v>
      </c>
      <c r="F435" s="4">
        <v>9</v>
      </c>
      <c r="G435" s="5">
        <v>4.3269230769230772E-3</v>
      </c>
    </row>
    <row r="436" spans="1:7" ht="23.05" customHeight="1">
      <c r="A436" s="4">
        <v>1000</v>
      </c>
      <c r="B436" s="4" t="s">
        <v>47</v>
      </c>
      <c r="C436" s="4">
        <v>47</v>
      </c>
      <c r="D436" s="4">
        <v>100</v>
      </c>
      <c r="E436" s="5">
        <v>0.47</v>
      </c>
      <c r="F436" s="4">
        <v>7</v>
      </c>
      <c r="G436" s="5">
        <v>3.3653846153846156E-3</v>
      </c>
    </row>
    <row r="437" spans="1:7" ht="23.05" customHeight="1">
      <c r="A437" s="4">
        <v>1000</v>
      </c>
      <c r="B437" s="4" t="s">
        <v>47</v>
      </c>
      <c r="C437" s="4">
        <v>48</v>
      </c>
      <c r="D437" s="4">
        <v>100</v>
      </c>
      <c r="E437" s="5">
        <v>0.48</v>
      </c>
      <c r="F437" s="4">
        <v>11</v>
      </c>
      <c r="G437" s="5">
        <v>5.2884615384615388E-3</v>
      </c>
    </row>
    <row r="438" spans="1:7" ht="23.05" customHeight="1">
      <c r="A438" s="4">
        <v>1000</v>
      </c>
      <c r="B438" s="4" t="s">
        <v>47</v>
      </c>
      <c r="C438" s="4">
        <v>49</v>
      </c>
      <c r="D438" s="4">
        <v>100</v>
      </c>
      <c r="E438" s="5">
        <v>0.49</v>
      </c>
      <c r="F438" s="4">
        <v>14</v>
      </c>
      <c r="G438" s="5">
        <v>6.7307692307692311E-3</v>
      </c>
    </row>
    <row r="439" spans="1:7" ht="23.05" customHeight="1">
      <c r="A439" s="4">
        <v>1000</v>
      </c>
      <c r="B439" s="4" t="s">
        <v>47</v>
      </c>
      <c r="C439" s="4">
        <v>50</v>
      </c>
      <c r="D439" s="4">
        <v>100</v>
      </c>
      <c r="E439" s="5">
        <v>0.5</v>
      </c>
      <c r="F439" s="4">
        <v>9</v>
      </c>
      <c r="G439" s="5">
        <v>4.3269230769230772E-3</v>
      </c>
    </row>
    <row r="440" spans="1:7" ht="23.05" customHeight="1">
      <c r="A440" s="4">
        <v>1000</v>
      </c>
      <c r="B440" s="4" t="s">
        <v>47</v>
      </c>
      <c r="C440" s="4">
        <v>51</v>
      </c>
      <c r="D440" s="4">
        <v>100</v>
      </c>
      <c r="E440" s="5">
        <v>0.51</v>
      </c>
      <c r="F440" s="4">
        <v>10</v>
      </c>
      <c r="G440" s="5">
        <v>4.807692307692308E-3</v>
      </c>
    </row>
    <row r="441" spans="1:7" ht="23.05" customHeight="1">
      <c r="A441" s="4">
        <v>1000</v>
      </c>
      <c r="B441" s="4" t="s">
        <v>47</v>
      </c>
      <c r="C441" s="4">
        <v>52</v>
      </c>
      <c r="D441" s="4">
        <v>100</v>
      </c>
      <c r="E441" s="5">
        <v>0.52</v>
      </c>
      <c r="F441" s="4">
        <v>10</v>
      </c>
      <c r="G441" s="5">
        <v>4.807692307692308E-3</v>
      </c>
    </row>
    <row r="442" spans="1:7" ht="23.05" customHeight="1">
      <c r="A442" s="4">
        <v>1000</v>
      </c>
      <c r="B442" s="4" t="s">
        <v>47</v>
      </c>
      <c r="C442" s="4">
        <v>53</v>
      </c>
      <c r="D442" s="4">
        <v>100</v>
      </c>
      <c r="E442" s="5">
        <v>0.53</v>
      </c>
      <c r="F442" s="4">
        <v>17</v>
      </c>
      <c r="G442" s="5">
        <v>8.1730769230769235E-3</v>
      </c>
    </row>
    <row r="443" spans="1:7" ht="23.05" customHeight="1">
      <c r="A443" s="4">
        <v>1000</v>
      </c>
      <c r="B443" s="4" t="s">
        <v>47</v>
      </c>
      <c r="C443" s="4">
        <v>54</v>
      </c>
      <c r="D443" s="4">
        <v>100</v>
      </c>
      <c r="E443" s="5">
        <v>0.54</v>
      </c>
      <c r="F443" s="4">
        <v>11</v>
      </c>
      <c r="G443" s="5">
        <v>5.2884615384615388E-3</v>
      </c>
    </row>
    <row r="444" spans="1:7" ht="23.05" customHeight="1">
      <c r="A444" s="4">
        <v>1000</v>
      </c>
      <c r="B444" s="4" t="s">
        <v>47</v>
      </c>
      <c r="C444" s="4">
        <v>55</v>
      </c>
      <c r="D444" s="4">
        <v>100</v>
      </c>
      <c r="E444" s="5">
        <v>0.55000000000000004</v>
      </c>
      <c r="F444" s="4">
        <v>10</v>
      </c>
      <c r="G444" s="5">
        <v>4.807692307692308E-3</v>
      </c>
    </row>
    <row r="445" spans="1:7" ht="23.05" customHeight="1">
      <c r="A445" s="4">
        <v>1000</v>
      </c>
      <c r="B445" s="4" t="s">
        <v>47</v>
      </c>
      <c r="C445" s="4">
        <v>56</v>
      </c>
      <c r="D445" s="4">
        <v>100</v>
      </c>
      <c r="E445" s="5">
        <v>0.56000000000000005</v>
      </c>
      <c r="F445" s="4">
        <v>12</v>
      </c>
      <c r="G445" s="5">
        <v>5.7692307692307696E-3</v>
      </c>
    </row>
    <row r="446" spans="1:7" ht="23.05" customHeight="1">
      <c r="A446" s="4">
        <v>1000</v>
      </c>
      <c r="B446" s="4" t="s">
        <v>47</v>
      </c>
      <c r="C446" s="4">
        <v>57</v>
      </c>
      <c r="D446" s="4">
        <v>100</v>
      </c>
      <c r="E446" s="5">
        <v>0.56999999999999995</v>
      </c>
      <c r="F446" s="4">
        <v>13</v>
      </c>
      <c r="G446" s="5">
        <v>6.2500000000000003E-3</v>
      </c>
    </row>
    <row r="447" spans="1:7" ht="23.05" customHeight="1">
      <c r="A447" s="4">
        <v>1000</v>
      </c>
      <c r="B447" s="4" t="s">
        <v>47</v>
      </c>
      <c r="C447" s="4">
        <v>58</v>
      </c>
      <c r="D447" s="4">
        <v>100</v>
      </c>
      <c r="E447" s="5">
        <v>0.57999999999999996</v>
      </c>
      <c r="F447" s="4">
        <v>11</v>
      </c>
      <c r="G447" s="5">
        <v>5.2884615384615388E-3</v>
      </c>
    </row>
    <row r="448" spans="1:7" ht="23.05" customHeight="1">
      <c r="A448" s="4">
        <v>1000</v>
      </c>
      <c r="B448" s="4" t="s">
        <v>47</v>
      </c>
      <c r="C448" s="4">
        <v>59</v>
      </c>
      <c r="D448" s="4">
        <v>100</v>
      </c>
      <c r="E448" s="5">
        <v>0.59</v>
      </c>
      <c r="F448" s="4">
        <v>7</v>
      </c>
      <c r="G448" s="5">
        <v>3.3653846153846156E-3</v>
      </c>
    </row>
    <row r="449" spans="1:7" ht="23.05" customHeight="1">
      <c r="A449" s="4">
        <v>1000</v>
      </c>
      <c r="B449" s="4" t="s">
        <v>47</v>
      </c>
      <c r="C449" s="4">
        <v>60</v>
      </c>
      <c r="D449" s="4">
        <v>100</v>
      </c>
      <c r="E449" s="5">
        <v>0.6</v>
      </c>
      <c r="F449" s="4">
        <v>8</v>
      </c>
      <c r="G449" s="5">
        <v>3.8461538461538464E-3</v>
      </c>
    </row>
    <row r="450" spans="1:7" ht="23.05" customHeight="1">
      <c r="A450" s="4">
        <v>1000</v>
      </c>
      <c r="B450" s="4" t="s">
        <v>47</v>
      </c>
      <c r="C450" s="4">
        <v>61</v>
      </c>
      <c r="D450" s="4">
        <v>100</v>
      </c>
      <c r="E450" s="5">
        <v>0.61</v>
      </c>
      <c r="F450" s="4">
        <v>13</v>
      </c>
      <c r="G450" s="5">
        <v>6.2500000000000003E-3</v>
      </c>
    </row>
    <row r="451" spans="1:7" ht="23.05" customHeight="1">
      <c r="A451" s="4">
        <v>1000</v>
      </c>
      <c r="B451" s="4" t="s">
        <v>47</v>
      </c>
      <c r="C451" s="4">
        <v>62</v>
      </c>
      <c r="D451" s="4">
        <v>100</v>
      </c>
      <c r="E451" s="5">
        <v>0.62</v>
      </c>
      <c r="F451" s="4">
        <v>11</v>
      </c>
      <c r="G451" s="5">
        <v>5.2884615384615388E-3</v>
      </c>
    </row>
    <row r="452" spans="1:7" ht="23.05" customHeight="1">
      <c r="A452" s="4">
        <v>1000</v>
      </c>
      <c r="B452" s="4" t="s">
        <v>47</v>
      </c>
      <c r="C452" s="4">
        <v>63</v>
      </c>
      <c r="D452" s="4">
        <v>100</v>
      </c>
      <c r="E452" s="5">
        <v>0.63</v>
      </c>
      <c r="F452" s="4">
        <v>14</v>
      </c>
      <c r="G452" s="5">
        <v>6.7307692307692311E-3</v>
      </c>
    </row>
    <row r="453" spans="1:7" ht="23.05" customHeight="1">
      <c r="A453" s="4">
        <v>1000</v>
      </c>
      <c r="B453" s="4" t="s">
        <v>47</v>
      </c>
      <c r="C453" s="4">
        <v>64</v>
      </c>
      <c r="D453" s="4">
        <v>100</v>
      </c>
      <c r="E453" s="5">
        <v>0.64</v>
      </c>
      <c r="F453" s="4">
        <v>7</v>
      </c>
      <c r="G453" s="5">
        <v>3.3653846153846156E-3</v>
      </c>
    </row>
    <row r="454" spans="1:7" ht="23.05" customHeight="1">
      <c r="A454" s="4">
        <v>1000</v>
      </c>
      <c r="B454" s="4" t="s">
        <v>47</v>
      </c>
      <c r="C454" s="4">
        <v>65</v>
      </c>
      <c r="D454" s="4">
        <v>100</v>
      </c>
      <c r="E454" s="5">
        <v>0.65</v>
      </c>
      <c r="F454" s="4">
        <v>11</v>
      </c>
      <c r="G454" s="5">
        <v>5.2884615384615388E-3</v>
      </c>
    </row>
    <row r="455" spans="1:7" ht="23.05" customHeight="1">
      <c r="A455" s="4">
        <v>1000</v>
      </c>
      <c r="B455" s="4" t="s">
        <v>47</v>
      </c>
      <c r="C455" s="4">
        <v>66</v>
      </c>
      <c r="D455" s="4">
        <v>100</v>
      </c>
      <c r="E455" s="5">
        <v>0.66</v>
      </c>
      <c r="F455" s="4">
        <v>12</v>
      </c>
      <c r="G455" s="5">
        <v>5.7692307692307696E-3</v>
      </c>
    </row>
    <row r="456" spans="1:7" ht="23.05" customHeight="1">
      <c r="A456" s="4">
        <v>1000</v>
      </c>
      <c r="B456" s="4" t="s">
        <v>47</v>
      </c>
      <c r="C456" s="4">
        <v>67</v>
      </c>
      <c r="D456" s="4">
        <v>100</v>
      </c>
      <c r="E456" s="5">
        <v>0.67</v>
      </c>
      <c r="F456" s="4">
        <v>9</v>
      </c>
      <c r="G456" s="5">
        <v>4.3269230769230772E-3</v>
      </c>
    </row>
    <row r="457" spans="1:7" ht="23.05" customHeight="1">
      <c r="A457" s="4">
        <v>1000</v>
      </c>
      <c r="B457" s="4" t="s">
        <v>47</v>
      </c>
      <c r="C457" s="4">
        <v>68</v>
      </c>
      <c r="D457" s="4">
        <v>100</v>
      </c>
      <c r="E457" s="5">
        <v>0.68</v>
      </c>
      <c r="F457" s="4">
        <v>8</v>
      </c>
      <c r="G457" s="5">
        <v>3.8461538461538464E-3</v>
      </c>
    </row>
    <row r="458" spans="1:7" ht="23.05" customHeight="1">
      <c r="A458" s="4">
        <v>1000</v>
      </c>
      <c r="B458" s="4" t="s">
        <v>47</v>
      </c>
      <c r="C458" s="4">
        <v>69</v>
      </c>
      <c r="D458" s="4">
        <v>100</v>
      </c>
      <c r="E458" s="5">
        <v>0.69</v>
      </c>
      <c r="F458" s="4">
        <v>11</v>
      </c>
      <c r="G458" s="5">
        <v>5.2884615384615388E-3</v>
      </c>
    </row>
    <row r="459" spans="1:7" ht="23.05" customHeight="1">
      <c r="A459" s="4">
        <v>1000</v>
      </c>
      <c r="B459" s="4" t="s">
        <v>47</v>
      </c>
      <c r="C459" s="4">
        <v>70</v>
      </c>
      <c r="D459" s="4">
        <v>100</v>
      </c>
      <c r="E459" s="5">
        <v>0.7</v>
      </c>
      <c r="F459" s="4">
        <v>8</v>
      </c>
      <c r="G459" s="5">
        <v>3.8461538461538464E-3</v>
      </c>
    </row>
    <row r="460" spans="1:7" ht="23.05" customHeight="1">
      <c r="A460" s="4">
        <v>1000</v>
      </c>
      <c r="B460" s="4" t="s">
        <v>47</v>
      </c>
      <c r="C460" s="4">
        <v>71</v>
      </c>
      <c r="D460" s="4">
        <v>100</v>
      </c>
      <c r="E460" s="5">
        <v>0.71</v>
      </c>
      <c r="F460" s="4">
        <v>7</v>
      </c>
      <c r="G460" s="5">
        <v>3.3653846153846156E-3</v>
      </c>
    </row>
    <row r="461" spans="1:7" ht="23.05" customHeight="1">
      <c r="A461" s="4">
        <v>1000</v>
      </c>
      <c r="B461" s="4" t="s">
        <v>47</v>
      </c>
      <c r="C461" s="4">
        <v>72</v>
      </c>
      <c r="D461" s="4">
        <v>100</v>
      </c>
      <c r="E461" s="5">
        <v>0.72</v>
      </c>
      <c r="F461" s="4">
        <v>12</v>
      </c>
      <c r="G461" s="5">
        <v>5.7692307692307696E-3</v>
      </c>
    </row>
    <row r="462" spans="1:7" ht="23.05" customHeight="1">
      <c r="A462" s="4">
        <v>1000</v>
      </c>
      <c r="B462" s="4" t="s">
        <v>47</v>
      </c>
      <c r="C462" s="4">
        <v>73</v>
      </c>
      <c r="D462" s="4">
        <v>100</v>
      </c>
      <c r="E462" s="5">
        <v>0.73</v>
      </c>
      <c r="F462" s="4">
        <v>8</v>
      </c>
      <c r="G462" s="5">
        <v>3.8461538461538464E-3</v>
      </c>
    </row>
    <row r="463" spans="1:7" ht="23.05" customHeight="1">
      <c r="A463" s="4">
        <v>1000</v>
      </c>
      <c r="B463" s="4" t="s">
        <v>47</v>
      </c>
      <c r="C463" s="4">
        <v>74</v>
      </c>
      <c r="D463" s="4">
        <v>100</v>
      </c>
      <c r="E463" s="5">
        <v>0.74</v>
      </c>
      <c r="F463" s="4">
        <v>7</v>
      </c>
      <c r="G463" s="5">
        <v>3.3653846153846156E-3</v>
      </c>
    </row>
    <row r="464" spans="1:7" ht="23.05" customHeight="1">
      <c r="A464" s="4">
        <v>1000</v>
      </c>
      <c r="B464" s="4" t="s">
        <v>47</v>
      </c>
      <c r="C464" s="4">
        <v>75</v>
      </c>
      <c r="D464" s="4">
        <v>100</v>
      </c>
      <c r="E464" s="5">
        <v>0.75</v>
      </c>
      <c r="F464" s="4">
        <v>3</v>
      </c>
      <c r="G464" s="5">
        <v>1.4423076923076924E-3</v>
      </c>
    </row>
    <row r="465" spans="1:7" ht="23.05" customHeight="1">
      <c r="A465" s="4">
        <v>1000</v>
      </c>
      <c r="B465" s="4" t="s">
        <v>47</v>
      </c>
      <c r="C465" s="4">
        <v>76</v>
      </c>
      <c r="D465" s="4">
        <v>100</v>
      </c>
      <c r="E465" s="5">
        <v>0.76</v>
      </c>
      <c r="F465" s="4">
        <v>5</v>
      </c>
      <c r="G465" s="5">
        <v>2.403846153846154E-3</v>
      </c>
    </row>
    <row r="466" spans="1:7" ht="23.05" customHeight="1">
      <c r="A466" s="4">
        <v>1000</v>
      </c>
      <c r="B466" s="4" t="s">
        <v>47</v>
      </c>
      <c r="C466" s="4">
        <v>77</v>
      </c>
      <c r="D466" s="4">
        <v>100</v>
      </c>
      <c r="E466" s="5">
        <v>0.77</v>
      </c>
      <c r="F466" s="4">
        <v>3</v>
      </c>
      <c r="G466" s="5">
        <v>1.4423076923076924E-3</v>
      </c>
    </row>
    <row r="467" spans="1:7" ht="23.05" customHeight="1">
      <c r="A467" s="4">
        <v>1000</v>
      </c>
      <c r="B467" s="4" t="s">
        <v>47</v>
      </c>
      <c r="C467" s="4">
        <v>78</v>
      </c>
      <c r="D467" s="4">
        <v>100</v>
      </c>
      <c r="E467" s="5">
        <v>0.78</v>
      </c>
      <c r="F467" s="4">
        <v>6</v>
      </c>
      <c r="G467" s="5">
        <v>2.8846153846153848E-3</v>
      </c>
    </row>
    <row r="468" spans="1:7" ht="23.05" customHeight="1">
      <c r="A468" s="4">
        <v>1000</v>
      </c>
      <c r="B468" s="4" t="s">
        <v>47</v>
      </c>
      <c r="C468" s="4">
        <v>79</v>
      </c>
      <c r="D468" s="4">
        <v>100</v>
      </c>
      <c r="E468" s="5">
        <v>0.79</v>
      </c>
      <c r="F468" s="4">
        <v>6</v>
      </c>
      <c r="G468" s="5">
        <v>2.8846153846153848E-3</v>
      </c>
    </row>
    <row r="469" spans="1:7" ht="23.05" customHeight="1">
      <c r="A469" s="4">
        <v>1000</v>
      </c>
      <c r="B469" s="4" t="s">
        <v>47</v>
      </c>
      <c r="C469" s="4">
        <v>80</v>
      </c>
      <c r="D469" s="4">
        <v>100</v>
      </c>
      <c r="E469" s="5">
        <v>0.8</v>
      </c>
      <c r="F469" s="4">
        <v>3</v>
      </c>
      <c r="G469" s="5">
        <v>1.4423076923076924E-3</v>
      </c>
    </row>
    <row r="470" spans="1:7" ht="23.05" customHeight="1">
      <c r="A470" s="4">
        <v>1000</v>
      </c>
      <c r="B470" s="4" t="s">
        <v>47</v>
      </c>
      <c r="C470" s="4">
        <v>81</v>
      </c>
      <c r="D470" s="4">
        <v>100</v>
      </c>
      <c r="E470" s="5">
        <v>0.81</v>
      </c>
      <c r="F470" s="4">
        <v>6</v>
      </c>
      <c r="G470" s="5">
        <v>2.8846153846153848E-3</v>
      </c>
    </row>
    <row r="471" spans="1:7" ht="23.05" customHeight="1">
      <c r="A471" s="4">
        <v>1000</v>
      </c>
      <c r="B471" s="4" t="s">
        <v>47</v>
      </c>
      <c r="C471" s="4">
        <v>82</v>
      </c>
      <c r="D471" s="4">
        <v>100</v>
      </c>
      <c r="E471" s="5">
        <v>0.82</v>
      </c>
      <c r="F471" s="4">
        <v>3</v>
      </c>
      <c r="G471" s="5">
        <v>1.4423076923076924E-3</v>
      </c>
    </row>
    <row r="472" spans="1:7" ht="23.05" customHeight="1">
      <c r="A472" s="4">
        <v>1000</v>
      </c>
      <c r="B472" s="4" t="s">
        <v>47</v>
      </c>
      <c r="C472" s="4">
        <v>83</v>
      </c>
      <c r="D472" s="4">
        <v>100</v>
      </c>
      <c r="E472" s="5">
        <v>0.83</v>
      </c>
      <c r="F472" s="4">
        <v>9</v>
      </c>
      <c r="G472" s="5">
        <v>4.3269230769230772E-3</v>
      </c>
    </row>
    <row r="473" spans="1:7" ht="23.05" customHeight="1">
      <c r="A473" s="4">
        <v>1000</v>
      </c>
      <c r="B473" s="4" t="s">
        <v>47</v>
      </c>
      <c r="C473" s="4">
        <v>84</v>
      </c>
      <c r="D473" s="4">
        <v>100</v>
      </c>
      <c r="E473" s="5">
        <v>0.84</v>
      </c>
      <c r="F473" s="4">
        <v>6</v>
      </c>
      <c r="G473" s="5">
        <v>2.8846153846153848E-3</v>
      </c>
    </row>
    <row r="474" spans="1:7" ht="23.05" customHeight="1">
      <c r="A474" s="4">
        <v>1000</v>
      </c>
      <c r="B474" s="4" t="s">
        <v>47</v>
      </c>
      <c r="C474" s="4">
        <v>85</v>
      </c>
      <c r="D474" s="4">
        <v>100</v>
      </c>
      <c r="E474" s="5">
        <v>0.85</v>
      </c>
      <c r="F474" s="4">
        <v>6</v>
      </c>
      <c r="G474" s="5">
        <v>2.8846153846153848E-3</v>
      </c>
    </row>
    <row r="475" spans="1:7" ht="23.05" customHeight="1">
      <c r="A475" s="4">
        <v>1000</v>
      </c>
      <c r="B475" s="4" t="s">
        <v>47</v>
      </c>
      <c r="C475" s="4">
        <v>86</v>
      </c>
      <c r="D475" s="4">
        <v>100</v>
      </c>
      <c r="E475" s="5">
        <v>0.86</v>
      </c>
      <c r="F475" s="4">
        <v>3</v>
      </c>
      <c r="G475" s="5">
        <v>1.4423076923076924E-3</v>
      </c>
    </row>
    <row r="476" spans="1:7" ht="23.05" customHeight="1">
      <c r="A476" s="4">
        <v>1000</v>
      </c>
      <c r="B476" s="4" t="s">
        <v>47</v>
      </c>
      <c r="C476" s="4">
        <v>87</v>
      </c>
      <c r="D476" s="4">
        <v>100</v>
      </c>
      <c r="E476" s="5">
        <v>0.87</v>
      </c>
      <c r="F476" s="4">
        <v>5</v>
      </c>
      <c r="G476" s="5">
        <v>2.403846153846154E-3</v>
      </c>
    </row>
    <row r="477" spans="1:7" ht="23.05" customHeight="1">
      <c r="A477" s="4">
        <v>1000</v>
      </c>
      <c r="B477" s="4" t="s">
        <v>47</v>
      </c>
      <c r="C477" s="4">
        <v>88</v>
      </c>
      <c r="D477" s="4">
        <v>100</v>
      </c>
      <c r="E477" s="5">
        <v>0.88</v>
      </c>
      <c r="F477" s="4">
        <v>3</v>
      </c>
      <c r="G477" s="5">
        <v>1.4423076923076924E-3</v>
      </c>
    </row>
    <row r="478" spans="1:7" ht="23.05" customHeight="1">
      <c r="A478" s="4">
        <v>1000</v>
      </c>
      <c r="B478" s="4" t="s">
        <v>47</v>
      </c>
      <c r="C478" s="4">
        <v>89</v>
      </c>
      <c r="D478" s="4">
        <v>100</v>
      </c>
      <c r="E478" s="5">
        <v>0.89</v>
      </c>
      <c r="F478" s="4">
        <v>5</v>
      </c>
      <c r="G478" s="5">
        <v>2.403846153846154E-3</v>
      </c>
    </row>
    <row r="479" spans="1:7" ht="23.05" customHeight="1">
      <c r="A479" s="4">
        <v>1000</v>
      </c>
      <c r="B479" s="4" t="s">
        <v>47</v>
      </c>
      <c r="C479" s="4">
        <v>90</v>
      </c>
      <c r="D479" s="4">
        <v>100</v>
      </c>
      <c r="E479" s="5">
        <v>0.9</v>
      </c>
      <c r="F479" s="4">
        <v>3</v>
      </c>
      <c r="G479" s="5">
        <v>1.4423076923076924E-3</v>
      </c>
    </row>
    <row r="480" spans="1:7" ht="23.05" customHeight="1">
      <c r="A480" s="4">
        <v>1000</v>
      </c>
      <c r="B480" s="4" t="s">
        <v>47</v>
      </c>
      <c r="C480" s="4">
        <v>91</v>
      </c>
      <c r="D480" s="4">
        <v>100</v>
      </c>
      <c r="E480" s="5">
        <v>0.91</v>
      </c>
      <c r="F480" s="4">
        <v>4</v>
      </c>
      <c r="G480" s="5">
        <v>1.9230769230769232E-3</v>
      </c>
    </row>
    <row r="481" spans="1:7" ht="23.05" customHeight="1">
      <c r="A481" s="4">
        <v>1000</v>
      </c>
      <c r="B481" s="4" t="s">
        <v>47</v>
      </c>
      <c r="C481" s="4">
        <v>92</v>
      </c>
      <c r="D481" s="4">
        <v>100</v>
      </c>
      <c r="E481" s="5">
        <v>0.92</v>
      </c>
      <c r="F481" s="4">
        <v>1</v>
      </c>
      <c r="G481" s="5">
        <v>4.807692307692308E-4</v>
      </c>
    </row>
    <row r="482" spans="1:7" ht="23.05" customHeight="1">
      <c r="A482" s="4">
        <v>1000</v>
      </c>
      <c r="B482" s="4" t="s">
        <v>47</v>
      </c>
      <c r="C482" s="4">
        <v>93</v>
      </c>
      <c r="D482" s="4">
        <v>100</v>
      </c>
      <c r="E482" s="5">
        <v>0.93</v>
      </c>
      <c r="F482" s="4">
        <v>5</v>
      </c>
      <c r="G482" s="5">
        <v>2.403846153846154E-3</v>
      </c>
    </row>
    <row r="483" spans="1:7" ht="23.05" customHeight="1">
      <c r="A483" s="4">
        <v>1000</v>
      </c>
      <c r="B483" s="4" t="s">
        <v>47</v>
      </c>
      <c r="C483" s="4">
        <v>94</v>
      </c>
      <c r="D483" s="4">
        <v>100</v>
      </c>
      <c r="E483" s="5">
        <v>0.94</v>
      </c>
      <c r="F483" s="4">
        <v>3</v>
      </c>
      <c r="G483" s="5">
        <v>1.4423076923076924E-3</v>
      </c>
    </row>
    <row r="484" spans="1:7" ht="23.05" customHeight="1">
      <c r="A484" s="4">
        <v>1000</v>
      </c>
      <c r="B484" s="4" t="s">
        <v>47</v>
      </c>
      <c r="C484" s="4">
        <v>96</v>
      </c>
      <c r="D484" s="4">
        <v>100</v>
      </c>
      <c r="E484" s="5">
        <v>0.96</v>
      </c>
      <c r="F484" s="4">
        <v>2</v>
      </c>
      <c r="G484" s="5">
        <v>9.6153846153846159E-4</v>
      </c>
    </row>
    <row r="485" spans="1:7" ht="23.05" customHeight="1">
      <c r="A485" s="4">
        <v>1000</v>
      </c>
      <c r="B485" s="4" t="s">
        <v>47</v>
      </c>
      <c r="C485" s="4">
        <v>97</v>
      </c>
      <c r="D485" s="4">
        <v>100</v>
      </c>
      <c r="E485" s="5">
        <v>0.97</v>
      </c>
      <c r="F485" s="4">
        <v>7</v>
      </c>
      <c r="G485" s="5">
        <v>3.3653846153846156E-3</v>
      </c>
    </row>
    <row r="486" spans="1:7" ht="23.05" customHeight="1">
      <c r="A486" s="4">
        <v>1000</v>
      </c>
      <c r="B486" s="4" t="s">
        <v>47</v>
      </c>
      <c r="C486" s="4">
        <v>98</v>
      </c>
      <c r="D486" s="4">
        <v>100</v>
      </c>
      <c r="E486" s="5">
        <v>0.98</v>
      </c>
      <c r="F486" s="4">
        <v>1</v>
      </c>
      <c r="G486" s="5">
        <v>4.807692307692308E-4</v>
      </c>
    </row>
    <row r="487" spans="1:7" ht="23.05" customHeight="1">
      <c r="A487" s="4">
        <v>1000</v>
      </c>
      <c r="B487" s="4" t="s">
        <v>47</v>
      </c>
      <c r="C487" s="4">
        <v>99</v>
      </c>
      <c r="D487" s="4">
        <v>100</v>
      </c>
      <c r="E487" s="5">
        <v>0.99</v>
      </c>
      <c r="F487" s="4">
        <v>5</v>
      </c>
      <c r="G487" s="5">
        <v>2.403846153846154E-3</v>
      </c>
    </row>
    <row r="488" spans="1:7" ht="23.05" customHeight="1">
      <c r="A488" s="4">
        <v>1000</v>
      </c>
      <c r="B488" s="4" t="s">
        <v>47</v>
      </c>
      <c r="C488" s="4">
        <v>100</v>
      </c>
      <c r="D488" s="4">
        <v>100</v>
      </c>
      <c r="E488" s="5">
        <v>1</v>
      </c>
      <c r="F488" s="4">
        <v>97</v>
      </c>
      <c r="G488" s="5">
        <v>4.6634615384615385E-2</v>
      </c>
    </row>
  </sheetData>
  <phoneticPr fontId="7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7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B5" sqref="B5"/>
    </sheetView>
  </sheetViews>
  <sheetFormatPr defaultRowHeight="14.15"/>
  <cols>
    <col min="1" max="1" width="19" customWidth="1"/>
    <col min="2" max="2" width="32" customWidth="1"/>
    <col min="3" max="9" width="19" customWidth="1"/>
  </cols>
  <sheetData>
    <row r="1" spans="1:9" ht="23.05" customHeight="1">
      <c r="A1" s="1"/>
      <c r="B1" s="1"/>
      <c r="C1" s="1"/>
      <c r="D1" s="1"/>
      <c r="E1" s="1"/>
      <c r="F1" s="1"/>
      <c r="G1" s="1"/>
      <c r="H1" s="1"/>
      <c r="I1" s="1"/>
    </row>
    <row r="2" spans="1:9" ht="23.05" customHeight="1">
      <c r="A2" s="2" t="s">
        <v>77</v>
      </c>
      <c r="B2" s="1"/>
      <c r="C2" s="1"/>
      <c r="D2" s="1"/>
      <c r="E2" s="1"/>
      <c r="F2" s="1"/>
      <c r="G2" s="1"/>
      <c r="H2" s="1"/>
      <c r="I2" s="1"/>
    </row>
    <row r="3" spans="1:9" ht="23.05" customHeight="1">
      <c r="A3" s="1"/>
      <c r="B3" s="1"/>
      <c r="C3" s="1"/>
      <c r="D3" s="1"/>
      <c r="E3" s="1"/>
      <c r="F3" s="1"/>
      <c r="G3" s="1"/>
      <c r="H3" s="1"/>
      <c r="I3" s="1"/>
    </row>
    <row r="4" spans="1:9" ht="45" customHeight="1">
      <c r="A4" s="3" t="s">
        <v>35</v>
      </c>
      <c r="B4" s="3" t="s">
        <v>78</v>
      </c>
      <c r="C4" s="3" t="s">
        <v>37</v>
      </c>
      <c r="D4" s="3" t="s">
        <v>38</v>
      </c>
      <c r="E4" s="3" t="s">
        <v>12</v>
      </c>
      <c r="F4" s="3" t="s">
        <v>13</v>
      </c>
      <c r="G4" s="3" t="s">
        <v>79</v>
      </c>
      <c r="H4" s="3" t="s">
        <v>80</v>
      </c>
      <c r="I4" s="3" t="s">
        <v>81</v>
      </c>
    </row>
    <row r="5" spans="1:9" ht="23.05" customHeight="1">
      <c r="A5" s="4">
        <v>50</v>
      </c>
      <c r="B5" s="4" t="s">
        <v>82</v>
      </c>
      <c r="C5" s="4">
        <v>2767</v>
      </c>
      <c r="D5" s="4">
        <v>8</v>
      </c>
      <c r="E5" s="4">
        <v>2621</v>
      </c>
      <c r="F5" s="4">
        <v>146</v>
      </c>
      <c r="G5" s="4">
        <v>207703</v>
      </c>
      <c r="H5" s="4">
        <v>207703</v>
      </c>
      <c r="I5" s="5">
        <v>1</v>
      </c>
    </row>
    <row r="6" spans="1:9" ht="23.05" customHeight="1">
      <c r="A6" s="4">
        <v>50</v>
      </c>
      <c r="B6" s="4" t="s">
        <v>83</v>
      </c>
      <c r="C6" s="4">
        <v>1332</v>
      </c>
      <c r="D6" s="4">
        <v>561</v>
      </c>
      <c r="E6" s="4">
        <v>887</v>
      </c>
      <c r="F6" s="4">
        <v>445</v>
      </c>
      <c r="G6" s="4">
        <v>1618</v>
      </c>
      <c r="H6" s="4">
        <v>1618</v>
      </c>
      <c r="I6" s="5">
        <v>1</v>
      </c>
    </row>
    <row r="7" spans="1:9" ht="23.05" customHeight="1">
      <c r="A7" s="4">
        <v>50</v>
      </c>
      <c r="B7" s="4" t="s">
        <v>84</v>
      </c>
      <c r="C7" s="4">
        <v>457</v>
      </c>
      <c r="D7" s="4">
        <v>4</v>
      </c>
      <c r="E7" s="4">
        <v>442</v>
      </c>
      <c r="F7" s="4">
        <v>15</v>
      </c>
      <c r="G7" s="4">
        <v>480</v>
      </c>
      <c r="H7" s="4">
        <v>480</v>
      </c>
      <c r="I7" s="5">
        <v>1</v>
      </c>
    </row>
    <row r="8" spans="1:9" ht="23.05" customHeight="1">
      <c r="A8" s="4">
        <v>50</v>
      </c>
      <c r="B8" s="4" t="s">
        <v>85</v>
      </c>
      <c r="C8" s="4">
        <v>661</v>
      </c>
      <c r="D8" s="4">
        <v>10</v>
      </c>
      <c r="E8" s="4">
        <v>661</v>
      </c>
      <c r="F8" s="4">
        <v>0</v>
      </c>
      <c r="G8" s="4">
        <v>1032311</v>
      </c>
      <c r="H8" s="4">
        <v>1032311</v>
      </c>
      <c r="I8" s="5">
        <v>1</v>
      </c>
    </row>
    <row r="9" spans="1:9" ht="23.05" customHeight="1">
      <c r="A9" s="4">
        <v>50</v>
      </c>
      <c r="B9" s="4" t="s">
        <v>86</v>
      </c>
      <c r="C9" s="4">
        <v>204</v>
      </c>
      <c r="D9" s="4">
        <v>10</v>
      </c>
      <c r="E9" s="4">
        <v>204</v>
      </c>
      <c r="F9" s="4">
        <v>0</v>
      </c>
      <c r="G9" s="4">
        <v>3450</v>
      </c>
      <c r="H9" s="4">
        <v>3450</v>
      </c>
      <c r="I9" s="5">
        <v>1</v>
      </c>
    </row>
    <row r="10" spans="1:9" ht="23.05" customHeight="1">
      <c r="A10" s="4">
        <v>50</v>
      </c>
      <c r="B10" s="4" t="s">
        <v>87</v>
      </c>
      <c r="C10" s="4">
        <v>846</v>
      </c>
      <c r="D10" s="4">
        <v>10</v>
      </c>
      <c r="E10" s="4">
        <v>846</v>
      </c>
      <c r="F10" s="4">
        <v>0</v>
      </c>
      <c r="G10" s="4">
        <v>288589</v>
      </c>
      <c r="H10" s="4">
        <v>288589</v>
      </c>
      <c r="I10" s="5">
        <v>1</v>
      </c>
    </row>
    <row r="11" spans="1:9" ht="23.05" customHeight="1">
      <c r="A11" s="4">
        <v>50</v>
      </c>
      <c r="B11" s="4" t="s">
        <v>88</v>
      </c>
      <c r="C11" s="4">
        <v>23</v>
      </c>
      <c r="D11" s="4">
        <v>1</v>
      </c>
      <c r="E11" s="4">
        <v>23</v>
      </c>
      <c r="F11" s="4">
        <v>0</v>
      </c>
      <c r="G11" s="4">
        <v>61300</v>
      </c>
      <c r="H11" s="4">
        <v>61300</v>
      </c>
      <c r="I11" s="5">
        <v>1</v>
      </c>
    </row>
    <row r="12" spans="1:9" ht="23.05" customHeight="1">
      <c r="A12" s="4">
        <v>50</v>
      </c>
      <c r="B12" s="4" t="s">
        <v>89</v>
      </c>
      <c r="C12" s="4">
        <v>17</v>
      </c>
      <c r="D12" s="4">
        <v>1</v>
      </c>
      <c r="E12" s="4">
        <v>17</v>
      </c>
      <c r="F12" s="4">
        <v>0</v>
      </c>
      <c r="G12" s="4">
        <v>100076</v>
      </c>
      <c r="H12" s="4">
        <v>100076</v>
      </c>
      <c r="I12" s="5">
        <v>1</v>
      </c>
    </row>
    <row r="13" spans="1:9" ht="23.05" customHeight="1">
      <c r="A13" s="4">
        <v>50</v>
      </c>
      <c r="B13" s="4" t="s">
        <v>90</v>
      </c>
      <c r="C13" s="4">
        <v>65</v>
      </c>
      <c r="D13" s="4">
        <v>1</v>
      </c>
      <c r="E13" s="4">
        <v>65</v>
      </c>
      <c r="F13" s="4">
        <v>0</v>
      </c>
      <c r="G13" s="4">
        <v>105550</v>
      </c>
      <c r="H13" s="4">
        <v>105550</v>
      </c>
      <c r="I13" s="5">
        <v>1</v>
      </c>
    </row>
    <row r="14" spans="1:9" ht="23.05" customHeight="1">
      <c r="A14" s="4">
        <v>50</v>
      </c>
      <c r="B14" s="4" t="s">
        <v>91</v>
      </c>
      <c r="C14" s="4">
        <v>50</v>
      </c>
      <c r="D14" s="4">
        <v>1</v>
      </c>
      <c r="E14" s="4">
        <v>50</v>
      </c>
      <c r="F14" s="4">
        <v>0</v>
      </c>
      <c r="G14" s="4">
        <v>36040</v>
      </c>
      <c r="H14" s="4">
        <v>36040</v>
      </c>
      <c r="I14" s="5">
        <v>1</v>
      </c>
    </row>
    <row r="15" spans="1:9" ht="23.05" customHeight="1">
      <c r="A15" s="4">
        <v>50</v>
      </c>
      <c r="B15" s="4" t="s">
        <v>92</v>
      </c>
      <c r="C15" s="4">
        <v>117</v>
      </c>
      <c r="D15" s="4">
        <v>1</v>
      </c>
      <c r="E15" s="4">
        <v>117</v>
      </c>
      <c r="F15" s="4">
        <v>0</v>
      </c>
      <c r="G15" s="4">
        <v>386720</v>
      </c>
      <c r="H15" s="4">
        <v>386720</v>
      </c>
      <c r="I15" s="5">
        <v>1</v>
      </c>
    </row>
    <row r="16" spans="1:9" ht="23.05" customHeight="1">
      <c r="A16" s="4">
        <v>50</v>
      </c>
      <c r="B16" s="4" t="s">
        <v>93</v>
      </c>
      <c r="C16" s="4">
        <v>9600</v>
      </c>
      <c r="D16" s="4">
        <v>609</v>
      </c>
      <c r="E16" s="4">
        <v>3720</v>
      </c>
      <c r="F16" s="4">
        <v>5880</v>
      </c>
      <c r="G16" s="4">
        <v>188152</v>
      </c>
      <c r="H16" s="4">
        <v>188152</v>
      </c>
      <c r="I16" s="5">
        <v>1</v>
      </c>
    </row>
    <row r="17" spans="1:9" ht="23.05" customHeight="1">
      <c r="A17" s="4">
        <v>50</v>
      </c>
      <c r="B17" s="4" t="s">
        <v>94</v>
      </c>
      <c r="C17" s="4">
        <v>412</v>
      </c>
      <c r="D17" s="4">
        <v>4</v>
      </c>
      <c r="E17" s="4">
        <v>412</v>
      </c>
      <c r="F17" s="4">
        <v>0</v>
      </c>
      <c r="G17" s="4">
        <v>440</v>
      </c>
      <c r="H17" s="4">
        <v>440</v>
      </c>
      <c r="I17" s="5">
        <v>1</v>
      </c>
    </row>
    <row r="18" spans="1:9" ht="23.05" customHeight="1">
      <c r="A18" s="4">
        <v>50</v>
      </c>
      <c r="B18" s="4" t="s">
        <v>95</v>
      </c>
      <c r="C18" s="4">
        <v>111</v>
      </c>
      <c r="D18" s="4">
        <v>1</v>
      </c>
      <c r="E18" s="4">
        <v>111</v>
      </c>
      <c r="F18" s="4">
        <v>0</v>
      </c>
      <c r="G18" s="4">
        <v>188474</v>
      </c>
      <c r="H18" s="4">
        <v>188474</v>
      </c>
      <c r="I18" s="5">
        <v>1</v>
      </c>
    </row>
    <row r="19" spans="1:9" ht="23.05" customHeight="1">
      <c r="A19" s="4">
        <v>100</v>
      </c>
      <c r="B19" s="4" t="s">
        <v>82</v>
      </c>
      <c r="C19" s="4">
        <v>1387</v>
      </c>
      <c r="D19" s="4">
        <v>8</v>
      </c>
      <c r="E19" s="4">
        <v>1249</v>
      </c>
      <c r="F19" s="4">
        <v>138</v>
      </c>
      <c r="G19" s="4">
        <v>207703</v>
      </c>
      <c r="H19" s="4">
        <v>207703</v>
      </c>
      <c r="I19" s="5">
        <v>1</v>
      </c>
    </row>
    <row r="20" spans="1:9" ht="23.05" customHeight="1">
      <c r="A20" s="4">
        <v>100</v>
      </c>
      <c r="B20" s="4" t="s">
        <v>83</v>
      </c>
      <c r="C20" s="4">
        <v>1295</v>
      </c>
      <c r="D20" s="4">
        <v>561</v>
      </c>
      <c r="E20" s="4">
        <v>805</v>
      </c>
      <c r="F20" s="4">
        <v>490</v>
      </c>
      <c r="G20" s="4">
        <v>1618</v>
      </c>
      <c r="H20" s="4">
        <v>1618</v>
      </c>
      <c r="I20" s="5">
        <v>1</v>
      </c>
    </row>
    <row r="21" spans="1:9" ht="23.05" customHeight="1">
      <c r="A21" s="4">
        <v>100</v>
      </c>
      <c r="B21" s="4" t="s">
        <v>84</v>
      </c>
      <c r="C21" s="4">
        <v>442</v>
      </c>
      <c r="D21" s="4">
        <v>4</v>
      </c>
      <c r="E21" s="4">
        <v>422</v>
      </c>
      <c r="F21" s="4">
        <v>20</v>
      </c>
      <c r="G21" s="4">
        <v>480</v>
      </c>
      <c r="H21" s="4">
        <v>480</v>
      </c>
      <c r="I21" s="5">
        <v>1</v>
      </c>
    </row>
    <row r="22" spans="1:9" ht="23.05" customHeight="1">
      <c r="A22" s="4">
        <v>100</v>
      </c>
      <c r="B22" s="4" t="s">
        <v>85</v>
      </c>
      <c r="C22" s="4">
        <v>340</v>
      </c>
      <c r="D22" s="4">
        <v>10</v>
      </c>
      <c r="E22" s="4">
        <v>340</v>
      </c>
      <c r="F22" s="4">
        <v>0</v>
      </c>
      <c r="G22" s="4">
        <v>1032311</v>
      </c>
      <c r="H22" s="4">
        <v>1032311</v>
      </c>
      <c r="I22" s="5">
        <v>1</v>
      </c>
    </row>
    <row r="23" spans="1:9" ht="23.05" customHeight="1">
      <c r="A23" s="4">
        <v>100</v>
      </c>
      <c r="B23" s="4" t="s">
        <v>86</v>
      </c>
      <c r="C23" s="4">
        <v>188</v>
      </c>
      <c r="D23" s="4">
        <v>10</v>
      </c>
      <c r="E23" s="4">
        <v>188</v>
      </c>
      <c r="F23" s="4">
        <v>0</v>
      </c>
      <c r="G23" s="4">
        <v>3450</v>
      </c>
      <c r="H23" s="4">
        <v>3450</v>
      </c>
      <c r="I23" s="5">
        <v>1</v>
      </c>
    </row>
    <row r="24" spans="1:9" ht="23.05" customHeight="1">
      <c r="A24" s="4">
        <v>100</v>
      </c>
      <c r="B24" s="4" t="s">
        <v>87</v>
      </c>
      <c r="C24" s="4">
        <v>471</v>
      </c>
      <c r="D24" s="4">
        <v>10</v>
      </c>
      <c r="E24" s="4">
        <v>471</v>
      </c>
      <c r="F24" s="4">
        <v>0</v>
      </c>
      <c r="G24" s="4">
        <v>288589</v>
      </c>
      <c r="H24" s="4">
        <v>288589</v>
      </c>
      <c r="I24" s="5">
        <v>1</v>
      </c>
    </row>
    <row r="25" spans="1:9" ht="23.05" customHeight="1">
      <c r="A25" s="4">
        <v>100</v>
      </c>
      <c r="B25" s="4" t="s">
        <v>88</v>
      </c>
      <c r="C25" s="4">
        <v>14</v>
      </c>
      <c r="D25" s="4">
        <v>1</v>
      </c>
      <c r="E25" s="4">
        <v>14</v>
      </c>
      <c r="F25" s="4">
        <v>0</v>
      </c>
      <c r="G25" s="4">
        <v>61300</v>
      </c>
      <c r="H25" s="4">
        <v>61300</v>
      </c>
      <c r="I25" s="5">
        <v>1</v>
      </c>
    </row>
    <row r="26" spans="1:9" ht="23.05" customHeight="1">
      <c r="A26" s="4">
        <v>100</v>
      </c>
      <c r="B26" s="4" t="s">
        <v>89</v>
      </c>
      <c r="C26" s="4">
        <v>9</v>
      </c>
      <c r="D26" s="4">
        <v>1</v>
      </c>
      <c r="E26" s="4">
        <v>9</v>
      </c>
      <c r="F26" s="4">
        <v>0</v>
      </c>
      <c r="G26" s="4">
        <v>100076</v>
      </c>
      <c r="H26" s="4">
        <v>100076</v>
      </c>
      <c r="I26" s="5">
        <v>1</v>
      </c>
    </row>
    <row r="27" spans="1:9" ht="23.05" customHeight="1">
      <c r="A27" s="4">
        <v>100</v>
      </c>
      <c r="B27" s="4" t="s">
        <v>90</v>
      </c>
      <c r="C27" s="4">
        <v>33</v>
      </c>
      <c r="D27" s="4">
        <v>1</v>
      </c>
      <c r="E27" s="4">
        <v>33</v>
      </c>
      <c r="F27" s="4">
        <v>0</v>
      </c>
      <c r="G27" s="4">
        <v>105550</v>
      </c>
      <c r="H27" s="4">
        <v>105550</v>
      </c>
      <c r="I27" s="5">
        <v>1</v>
      </c>
    </row>
    <row r="28" spans="1:9" ht="23.05" customHeight="1">
      <c r="A28" s="4">
        <v>100</v>
      </c>
      <c r="B28" s="4" t="s">
        <v>91</v>
      </c>
      <c r="C28" s="4">
        <v>25</v>
      </c>
      <c r="D28" s="4">
        <v>1</v>
      </c>
      <c r="E28" s="4">
        <v>25</v>
      </c>
      <c r="F28" s="4">
        <v>0</v>
      </c>
      <c r="G28" s="4">
        <v>36040</v>
      </c>
      <c r="H28" s="4">
        <v>36040</v>
      </c>
      <c r="I28" s="5">
        <v>1</v>
      </c>
    </row>
    <row r="29" spans="1:9" ht="23.05" customHeight="1">
      <c r="A29" s="4">
        <v>100</v>
      </c>
      <c r="B29" s="4" t="s">
        <v>92</v>
      </c>
      <c r="C29" s="4">
        <v>59</v>
      </c>
      <c r="D29" s="4">
        <v>1</v>
      </c>
      <c r="E29" s="4">
        <v>59</v>
      </c>
      <c r="F29" s="4">
        <v>0</v>
      </c>
      <c r="G29" s="4">
        <v>386720</v>
      </c>
      <c r="H29" s="4">
        <v>386720</v>
      </c>
      <c r="I29" s="5">
        <v>1</v>
      </c>
    </row>
    <row r="30" spans="1:9" ht="23.05" customHeight="1">
      <c r="A30" s="4">
        <v>100</v>
      </c>
      <c r="B30" s="4" t="s">
        <v>93</v>
      </c>
      <c r="C30" s="4">
        <v>6634</v>
      </c>
      <c r="D30" s="4">
        <v>609</v>
      </c>
      <c r="E30" s="4">
        <v>2072</v>
      </c>
      <c r="F30" s="4">
        <v>4562</v>
      </c>
      <c r="G30" s="4">
        <v>188152</v>
      </c>
      <c r="H30" s="4">
        <v>188152</v>
      </c>
      <c r="I30" s="5">
        <v>1</v>
      </c>
    </row>
    <row r="31" spans="1:9" ht="23.05" customHeight="1">
      <c r="A31" s="4">
        <v>100</v>
      </c>
      <c r="B31" s="4" t="s">
        <v>94</v>
      </c>
      <c r="C31" s="4">
        <v>388</v>
      </c>
      <c r="D31" s="4">
        <v>4</v>
      </c>
      <c r="E31" s="4">
        <v>388</v>
      </c>
      <c r="F31" s="4">
        <v>0</v>
      </c>
      <c r="G31" s="4">
        <v>440</v>
      </c>
      <c r="H31" s="4">
        <v>440</v>
      </c>
      <c r="I31" s="5">
        <v>1</v>
      </c>
    </row>
    <row r="32" spans="1:9" ht="23.05" customHeight="1">
      <c r="A32" s="4">
        <v>100</v>
      </c>
      <c r="B32" s="4" t="s">
        <v>95</v>
      </c>
      <c r="C32" s="4">
        <v>56</v>
      </c>
      <c r="D32" s="4">
        <v>1</v>
      </c>
      <c r="E32" s="4">
        <v>56</v>
      </c>
      <c r="F32" s="4">
        <v>0</v>
      </c>
      <c r="G32" s="4">
        <v>188474</v>
      </c>
      <c r="H32" s="4">
        <v>188474</v>
      </c>
      <c r="I32" s="5">
        <v>1</v>
      </c>
    </row>
    <row r="33" spans="1:9" ht="23.05" customHeight="1">
      <c r="A33" s="4">
        <v>200</v>
      </c>
      <c r="B33" s="4" t="s">
        <v>82</v>
      </c>
      <c r="C33" s="4">
        <v>699</v>
      </c>
      <c r="D33" s="4">
        <v>8</v>
      </c>
      <c r="E33" s="4">
        <v>573</v>
      </c>
      <c r="F33" s="4">
        <v>126</v>
      </c>
      <c r="G33" s="4">
        <v>207703</v>
      </c>
      <c r="H33" s="4">
        <v>207703</v>
      </c>
      <c r="I33" s="5">
        <v>1</v>
      </c>
    </row>
    <row r="34" spans="1:9" ht="23.05" customHeight="1">
      <c r="A34" s="4">
        <v>200</v>
      </c>
      <c r="B34" s="4" t="s">
        <v>83</v>
      </c>
      <c r="C34" s="4">
        <v>1212</v>
      </c>
      <c r="D34" s="4">
        <v>561</v>
      </c>
      <c r="E34" s="4">
        <v>696</v>
      </c>
      <c r="F34" s="4">
        <v>516</v>
      </c>
      <c r="G34" s="4">
        <v>1618</v>
      </c>
      <c r="H34" s="4">
        <v>1618</v>
      </c>
      <c r="I34" s="5">
        <v>1</v>
      </c>
    </row>
    <row r="35" spans="1:9" ht="23.05" customHeight="1">
      <c r="A35" s="4">
        <v>200</v>
      </c>
      <c r="B35" s="4" t="s">
        <v>84</v>
      </c>
      <c r="C35" s="4">
        <v>362</v>
      </c>
      <c r="D35" s="4">
        <v>4</v>
      </c>
      <c r="E35" s="4">
        <v>342</v>
      </c>
      <c r="F35" s="4">
        <v>20</v>
      </c>
      <c r="G35" s="4">
        <v>480</v>
      </c>
      <c r="H35" s="4">
        <v>480</v>
      </c>
      <c r="I35" s="5">
        <v>1</v>
      </c>
    </row>
    <row r="36" spans="1:9" ht="23.05" customHeight="1">
      <c r="A36" s="4">
        <v>200</v>
      </c>
      <c r="B36" s="4" t="s">
        <v>85</v>
      </c>
      <c r="C36" s="4">
        <v>170</v>
      </c>
      <c r="D36" s="4">
        <v>10</v>
      </c>
      <c r="E36" s="4">
        <v>170</v>
      </c>
      <c r="F36" s="4">
        <v>0</v>
      </c>
      <c r="G36" s="4">
        <v>1032311</v>
      </c>
      <c r="H36" s="4">
        <v>1032311</v>
      </c>
      <c r="I36" s="5">
        <v>1</v>
      </c>
    </row>
    <row r="37" spans="1:9" ht="23.05" customHeight="1">
      <c r="A37" s="4">
        <v>200</v>
      </c>
      <c r="B37" s="4" t="s">
        <v>86</v>
      </c>
      <c r="C37" s="4">
        <v>109</v>
      </c>
      <c r="D37" s="4">
        <v>10</v>
      </c>
      <c r="E37" s="4">
        <v>109</v>
      </c>
      <c r="F37" s="4">
        <v>0</v>
      </c>
      <c r="G37" s="4">
        <v>3450</v>
      </c>
      <c r="H37" s="4">
        <v>3450</v>
      </c>
      <c r="I37" s="5">
        <v>1</v>
      </c>
    </row>
    <row r="38" spans="1:9" ht="23.05" customHeight="1">
      <c r="A38" s="4">
        <v>200</v>
      </c>
      <c r="B38" s="4" t="s">
        <v>87</v>
      </c>
      <c r="C38" s="4">
        <v>245</v>
      </c>
      <c r="D38" s="4">
        <v>10</v>
      </c>
      <c r="E38" s="4">
        <v>245</v>
      </c>
      <c r="F38" s="4">
        <v>0</v>
      </c>
      <c r="G38" s="4">
        <v>288589</v>
      </c>
      <c r="H38" s="4">
        <v>288589</v>
      </c>
      <c r="I38" s="5">
        <v>1</v>
      </c>
    </row>
    <row r="39" spans="1:9" ht="23.05" customHeight="1">
      <c r="A39" s="4">
        <v>200</v>
      </c>
      <c r="B39" s="4" t="s">
        <v>88</v>
      </c>
      <c r="C39" s="4">
        <v>10</v>
      </c>
      <c r="D39" s="4">
        <v>1</v>
      </c>
      <c r="E39" s="4">
        <v>10</v>
      </c>
      <c r="F39" s="4">
        <v>0</v>
      </c>
      <c r="G39" s="4">
        <v>61300</v>
      </c>
      <c r="H39" s="4">
        <v>61300</v>
      </c>
      <c r="I39" s="5">
        <v>1</v>
      </c>
    </row>
    <row r="40" spans="1:9" ht="23.05" customHeight="1">
      <c r="A40" s="4">
        <v>200</v>
      </c>
      <c r="B40" s="4" t="s">
        <v>89</v>
      </c>
      <c r="C40" s="4">
        <v>5</v>
      </c>
      <c r="D40" s="4">
        <v>1</v>
      </c>
      <c r="E40" s="4">
        <v>5</v>
      </c>
      <c r="F40" s="4">
        <v>0</v>
      </c>
      <c r="G40" s="4">
        <v>100076</v>
      </c>
      <c r="H40" s="4">
        <v>100076</v>
      </c>
      <c r="I40" s="5">
        <v>1</v>
      </c>
    </row>
    <row r="41" spans="1:9" ht="23.05" customHeight="1">
      <c r="A41" s="4">
        <v>200</v>
      </c>
      <c r="B41" s="4" t="s">
        <v>90</v>
      </c>
      <c r="C41" s="4">
        <v>17</v>
      </c>
      <c r="D41" s="4">
        <v>1</v>
      </c>
      <c r="E41" s="4">
        <v>17</v>
      </c>
      <c r="F41" s="4">
        <v>0</v>
      </c>
      <c r="G41" s="4">
        <v>105550</v>
      </c>
      <c r="H41" s="4">
        <v>105550</v>
      </c>
      <c r="I41" s="5">
        <v>1</v>
      </c>
    </row>
    <row r="42" spans="1:9" ht="23.05" customHeight="1">
      <c r="A42" s="4">
        <v>200</v>
      </c>
      <c r="B42" s="4" t="s">
        <v>91</v>
      </c>
      <c r="C42" s="4">
        <v>13</v>
      </c>
      <c r="D42" s="4">
        <v>1</v>
      </c>
      <c r="E42" s="4">
        <v>13</v>
      </c>
      <c r="F42" s="4">
        <v>0</v>
      </c>
      <c r="G42" s="4">
        <v>36040</v>
      </c>
      <c r="H42" s="4">
        <v>36040</v>
      </c>
      <c r="I42" s="5">
        <v>1</v>
      </c>
    </row>
    <row r="43" spans="1:9" ht="23.05" customHeight="1">
      <c r="A43" s="4">
        <v>200</v>
      </c>
      <c r="B43" s="4" t="s">
        <v>92</v>
      </c>
      <c r="C43" s="4">
        <v>30</v>
      </c>
      <c r="D43" s="4">
        <v>1</v>
      </c>
      <c r="E43" s="4">
        <v>30</v>
      </c>
      <c r="F43" s="4">
        <v>0</v>
      </c>
      <c r="G43" s="4">
        <v>386720</v>
      </c>
      <c r="H43" s="4">
        <v>386720</v>
      </c>
      <c r="I43" s="5">
        <v>1</v>
      </c>
    </row>
    <row r="44" spans="1:9" ht="23.05" customHeight="1">
      <c r="A44" s="4">
        <v>200</v>
      </c>
      <c r="B44" s="4" t="s">
        <v>93</v>
      </c>
      <c r="C44" s="4">
        <v>4440</v>
      </c>
      <c r="D44" s="4">
        <v>609</v>
      </c>
      <c r="E44" s="4">
        <v>1079</v>
      </c>
      <c r="F44" s="4">
        <v>3361</v>
      </c>
      <c r="G44" s="4">
        <v>188152</v>
      </c>
      <c r="H44" s="4">
        <v>188152</v>
      </c>
      <c r="I44" s="5">
        <v>1</v>
      </c>
    </row>
    <row r="45" spans="1:9" ht="23.05" customHeight="1">
      <c r="A45" s="4">
        <v>200</v>
      </c>
      <c r="B45" s="4" t="s">
        <v>94</v>
      </c>
      <c r="C45" s="4">
        <v>308</v>
      </c>
      <c r="D45" s="4">
        <v>4</v>
      </c>
      <c r="E45" s="4">
        <v>308</v>
      </c>
      <c r="F45" s="4">
        <v>0</v>
      </c>
      <c r="G45" s="4">
        <v>440</v>
      </c>
      <c r="H45" s="4">
        <v>440</v>
      </c>
      <c r="I45" s="5">
        <v>1</v>
      </c>
    </row>
    <row r="46" spans="1:9" ht="23.05" customHeight="1">
      <c r="A46" s="4">
        <v>200</v>
      </c>
      <c r="B46" s="4" t="s">
        <v>95</v>
      </c>
      <c r="C46" s="4">
        <v>28</v>
      </c>
      <c r="D46" s="4">
        <v>1</v>
      </c>
      <c r="E46" s="4">
        <v>28</v>
      </c>
      <c r="F46" s="4">
        <v>0</v>
      </c>
      <c r="G46" s="4">
        <v>188474</v>
      </c>
      <c r="H46" s="4">
        <v>188474</v>
      </c>
      <c r="I46" s="5">
        <v>1</v>
      </c>
    </row>
    <row r="47" spans="1:9" ht="23.05" customHeight="1">
      <c r="A47" s="4">
        <v>500</v>
      </c>
      <c r="B47" s="4" t="s">
        <v>82</v>
      </c>
      <c r="C47" s="4">
        <v>286</v>
      </c>
      <c r="D47" s="4">
        <v>8</v>
      </c>
      <c r="E47" s="4">
        <v>184</v>
      </c>
      <c r="F47" s="4">
        <v>102</v>
      </c>
      <c r="G47" s="4">
        <v>207703</v>
      </c>
      <c r="H47" s="4">
        <v>207703</v>
      </c>
      <c r="I47" s="5">
        <v>1</v>
      </c>
    </row>
    <row r="48" spans="1:9" ht="23.05" customHeight="1">
      <c r="A48" s="4">
        <v>500</v>
      </c>
      <c r="B48" s="4" t="s">
        <v>83</v>
      </c>
      <c r="C48" s="4">
        <v>1045</v>
      </c>
      <c r="D48" s="4">
        <v>561</v>
      </c>
      <c r="E48" s="4">
        <v>513</v>
      </c>
      <c r="F48" s="4">
        <v>532</v>
      </c>
      <c r="G48" s="4">
        <v>1618</v>
      </c>
      <c r="H48" s="4">
        <v>1618</v>
      </c>
      <c r="I48" s="5">
        <v>1</v>
      </c>
    </row>
    <row r="49" spans="1:9" ht="23.05" customHeight="1">
      <c r="A49" s="4">
        <v>500</v>
      </c>
      <c r="B49" s="4" t="s">
        <v>84</v>
      </c>
      <c r="C49" s="4">
        <v>160</v>
      </c>
      <c r="D49" s="4">
        <v>4</v>
      </c>
      <c r="E49" s="4">
        <v>140</v>
      </c>
      <c r="F49" s="4">
        <v>20</v>
      </c>
      <c r="G49" s="4">
        <v>480</v>
      </c>
      <c r="H49" s="4">
        <v>480</v>
      </c>
      <c r="I49" s="5">
        <v>1</v>
      </c>
    </row>
    <row r="50" spans="1:9" ht="23.05" customHeight="1">
      <c r="A50" s="4">
        <v>500</v>
      </c>
      <c r="B50" s="4" t="s">
        <v>85</v>
      </c>
      <c r="C50" s="4">
        <v>80</v>
      </c>
      <c r="D50" s="4">
        <v>10</v>
      </c>
      <c r="E50" s="4">
        <v>80</v>
      </c>
      <c r="F50" s="4">
        <v>0</v>
      </c>
      <c r="G50" s="4">
        <v>1032311</v>
      </c>
      <c r="H50" s="4">
        <v>1032311</v>
      </c>
      <c r="I50" s="5">
        <v>1</v>
      </c>
    </row>
    <row r="51" spans="1:9" ht="23.05" customHeight="1">
      <c r="A51" s="4">
        <v>500</v>
      </c>
      <c r="B51" s="4" t="s">
        <v>86</v>
      </c>
      <c r="C51" s="4">
        <v>49</v>
      </c>
      <c r="D51" s="4">
        <v>10</v>
      </c>
      <c r="E51" s="4">
        <v>49</v>
      </c>
      <c r="F51" s="4">
        <v>0</v>
      </c>
      <c r="G51" s="4">
        <v>3450</v>
      </c>
      <c r="H51" s="4">
        <v>3450</v>
      </c>
      <c r="I51" s="5">
        <v>1</v>
      </c>
    </row>
    <row r="52" spans="1:9" ht="23.05" customHeight="1">
      <c r="A52" s="4">
        <v>500</v>
      </c>
      <c r="B52" s="4" t="s">
        <v>87</v>
      </c>
      <c r="C52" s="4">
        <v>105</v>
      </c>
      <c r="D52" s="4">
        <v>10</v>
      </c>
      <c r="E52" s="4">
        <v>105</v>
      </c>
      <c r="F52" s="4">
        <v>0</v>
      </c>
      <c r="G52" s="4">
        <v>288589</v>
      </c>
      <c r="H52" s="4">
        <v>288589</v>
      </c>
      <c r="I52" s="5">
        <v>1</v>
      </c>
    </row>
    <row r="53" spans="1:9" ht="23.05" customHeight="1">
      <c r="A53" s="4">
        <v>500</v>
      </c>
      <c r="B53" s="4" t="s">
        <v>88</v>
      </c>
      <c r="C53" s="4">
        <v>7</v>
      </c>
      <c r="D53" s="4">
        <v>1</v>
      </c>
      <c r="E53" s="4">
        <v>7</v>
      </c>
      <c r="F53" s="4">
        <v>0</v>
      </c>
      <c r="G53" s="4">
        <v>61300</v>
      </c>
      <c r="H53" s="4">
        <v>61300</v>
      </c>
      <c r="I53" s="5">
        <v>1</v>
      </c>
    </row>
    <row r="54" spans="1:9" ht="23.05" customHeight="1">
      <c r="A54" s="4">
        <v>500</v>
      </c>
      <c r="B54" s="4" t="s">
        <v>89</v>
      </c>
      <c r="C54" s="4">
        <v>3</v>
      </c>
      <c r="D54" s="4">
        <v>1</v>
      </c>
      <c r="E54" s="4">
        <v>3</v>
      </c>
      <c r="F54" s="4">
        <v>0</v>
      </c>
      <c r="G54" s="4">
        <v>100076</v>
      </c>
      <c r="H54" s="4">
        <v>100076</v>
      </c>
      <c r="I54" s="5">
        <v>1</v>
      </c>
    </row>
    <row r="55" spans="1:9" ht="23.05" customHeight="1">
      <c r="A55" s="4">
        <v>500</v>
      </c>
      <c r="B55" s="4" t="s">
        <v>90</v>
      </c>
      <c r="C55" s="4">
        <v>7</v>
      </c>
      <c r="D55" s="4">
        <v>1</v>
      </c>
      <c r="E55" s="4">
        <v>7</v>
      </c>
      <c r="F55" s="4">
        <v>0</v>
      </c>
      <c r="G55" s="4">
        <v>105550</v>
      </c>
      <c r="H55" s="4">
        <v>105550</v>
      </c>
      <c r="I55" s="5">
        <v>1</v>
      </c>
    </row>
    <row r="56" spans="1:9" ht="23.05" customHeight="1">
      <c r="A56" s="4">
        <v>500</v>
      </c>
      <c r="B56" s="4" t="s">
        <v>91</v>
      </c>
      <c r="C56" s="4">
        <v>5</v>
      </c>
      <c r="D56" s="4">
        <v>1</v>
      </c>
      <c r="E56" s="4">
        <v>5</v>
      </c>
      <c r="F56" s="4">
        <v>0</v>
      </c>
      <c r="G56" s="4">
        <v>36040</v>
      </c>
      <c r="H56" s="4">
        <v>36040</v>
      </c>
      <c r="I56" s="5">
        <v>1</v>
      </c>
    </row>
    <row r="57" spans="1:9" ht="23.05" customHeight="1">
      <c r="A57" s="4">
        <v>500</v>
      </c>
      <c r="B57" s="4" t="s">
        <v>92</v>
      </c>
      <c r="C57" s="4">
        <v>13</v>
      </c>
      <c r="D57" s="4">
        <v>1</v>
      </c>
      <c r="E57" s="4">
        <v>13</v>
      </c>
      <c r="F57" s="4">
        <v>0</v>
      </c>
      <c r="G57" s="4">
        <v>386720</v>
      </c>
      <c r="H57" s="4">
        <v>386720</v>
      </c>
      <c r="I57" s="5">
        <v>1</v>
      </c>
    </row>
    <row r="58" spans="1:9" ht="23.05" customHeight="1">
      <c r="A58" s="4">
        <v>500</v>
      </c>
      <c r="B58" s="4" t="s">
        <v>93</v>
      </c>
      <c r="C58" s="4">
        <v>2573</v>
      </c>
      <c r="D58" s="4">
        <v>609</v>
      </c>
      <c r="E58" s="4">
        <v>496</v>
      </c>
      <c r="F58" s="4">
        <v>2077</v>
      </c>
      <c r="G58" s="4">
        <v>188152</v>
      </c>
      <c r="H58" s="4">
        <v>188152</v>
      </c>
      <c r="I58" s="5">
        <v>1</v>
      </c>
    </row>
    <row r="59" spans="1:9" ht="23.05" customHeight="1">
      <c r="A59" s="4">
        <v>500</v>
      </c>
      <c r="B59" s="4" t="s">
        <v>94</v>
      </c>
      <c r="C59" s="4">
        <v>128</v>
      </c>
      <c r="D59" s="4">
        <v>4</v>
      </c>
      <c r="E59" s="4">
        <v>128</v>
      </c>
      <c r="F59" s="4">
        <v>0</v>
      </c>
      <c r="G59" s="4">
        <v>440</v>
      </c>
      <c r="H59" s="4">
        <v>440</v>
      </c>
      <c r="I59" s="5">
        <v>1</v>
      </c>
    </row>
    <row r="60" spans="1:9" ht="23.05" customHeight="1">
      <c r="A60" s="4">
        <v>500</v>
      </c>
      <c r="B60" s="4" t="s">
        <v>95</v>
      </c>
      <c r="C60" s="4">
        <v>12</v>
      </c>
      <c r="D60" s="4">
        <v>1</v>
      </c>
      <c r="E60" s="4">
        <v>12</v>
      </c>
      <c r="F60" s="4">
        <v>0</v>
      </c>
      <c r="G60" s="4">
        <v>188474</v>
      </c>
      <c r="H60" s="4">
        <v>188474</v>
      </c>
      <c r="I60" s="5">
        <v>1</v>
      </c>
    </row>
    <row r="61" spans="1:9" ht="23.05" customHeight="1">
      <c r="A61" s="4">
        <v>1000</v>
      </c>
      <c r="B61" s="4" t="s">
        <v>82</v>
      </c>
      <c r="C61" s="4">
        <v>145</v>
      </c>
      <c r="D61" s="4">
        <v>8</v>
      </c>
      <c r="E61" s="4">
        <v>64</v>
      </c>
      <c r="F61" s="4">
        <v>81</v>
      </c>
      <c r="G61" s="4">
        <v>207703</v>
      </c>
      <c r="H61" s="4">
        <v>207703</v>
      </c>
      <c r="I61" s="5">
        <v>1</v>
      </c>
    </row>
    <row r="62" spans="1:9" ht="23.05" customHeight="1">
      <c r="A62" s="4">
        <v>1000</v>
      </c>
      <c r="B62" s="4" t="s">
        <v>83</v>
      </c>
      <c r="C62" s="4">
        <v>961</v>
      </c>
      <c r="D62" s="4">
        <v>561</v>
      </c>
      <c r="E62" s="4">
        <v>429</v>
      </c>
      <c r="F62" s="4">
        <v>532</v>
      </c>
      <c r="G62" s="4">
        <v>1618</v>
      </c>
      <c r="H62" s="4">
        <v>1618</v>
      </c>
      <c r="I62" s="5">
        <v>1</v>
      </c>
    </row>
    <row r="63" spans="1:9" ht="23.05" customHeight="1">
      <c r="A63" s="4">
        <v>1000</v>
      </c>
      <c r="B63" s="4" t="s">
        <v>84</v>
      </c>
      <c r="C63" s="4">
        <v>92</v>
      </c>
      <c r="D63" s="4">
        <v>4</v>
      </c>
      <c r="E63" s="4">
        <v>72</v>
      </c>
      <c r="F63" s="4">
        <v>20</v>
      </c>
      <c r="G63" s="4">
        <v>480</v>
      </c>
      <c r="H63" s="4">
        <v>480</v>
      </c>
      <c r="I63" s="5">
        <v>1</v>
      </c>
    </row>
    <row r="64" spans="1:9" ht="23.05" customHeight="1">
      <c r="A64" s="4">
        <v>1000</v>
      </c>
      <c r="B64" s="4" t="s">
        <v>85</v>
      </c>
      <c r="C64" s="4">
        <v>40</v>
      </c>
      <c r="D64" s="4">
        <v>10</v>
      </c>
      <c r="E64" s="4">
        <v>40</v>
      </c>
      <c r="F64" s="4">
        <v>0</v>
      </c>
      <c r="G64" s="4">
        <v>1032311</v>
      </c>
      <c r="H64" s="4">
        <v>1032311</v>
      </c>
      <c r="I64" s="5">
        <v>1</v>
      </c>
    </row>
    <row r="65" spans="1:9" ht="23.05" customHeight="1">
      <c r="A65" s="4">
        <v>1000</v>
      </c>
      <c r="B65" s="4" t="s">
        <v>86</v>
      </c>
      <c r="C65" s="4">
        <v>29</v>
      </c>
      <c r="D65" s="4">
        <v>10</v>
      </c>
      <c r="E65" s="4">
        <v>29</v>
      </c>
      <c r="F65" s="4">
        <v>0</v>
      </c>
      <c r="G65" s="4">
        <v>3450</v>
      </c>
      <c r="H65" s="4">
        <v>3450</v>
      </c>
      <c r="I65" s="5">
        <v>1</v>
      </c>
    </row>
    <row r="66" spans="1:9" ht="23.05" customHeight="1">
      <c r="A66" s="4">
        <v>1000</v>
      </c>
      <c r="B66" s="4" t="s">
        <v>87</v>
      </c>
      <c r="C66" s="4">
        <v>55</v>
      </c>
      <c r="D66" s="4">
        <v>10</v>
      </c>
      <c r="E66" s="4">
        <v>55</v>
      </c>
      <c r="F66" s="4">
        <v>0</v>
      </c>
      <c r="G66" s="4">
        <v>288589</v>
      </c>
      <c r="H66" s="4">
        <v>288589</v>
      </c>
      <c r="I66" s="5">
        <v>1</v>
      </c>
    </row>
    <row r="67" spans="1:9" ht="23.05" customHeight="1">
      <c r="A67" s="4">
        <v>1000</v>
      </c>
      <c r="B67" s="4" t="s">
        <v>88</v>
      </c>
      <c r="C67" s="4">
        <v>4</v>
      </c>
      <c r="D67" s="4">
        <v>1</v>
      </c>
      <c r="E67" s="4">
        <v>4</v>
      </c>
      <c r="F67" s="4">
        <v>0</v>
      </c>
      <c r="G67" s="4">
        <v>61300</v>
      </c>
      <c r="H67" s="4">
        <v>61300</v>
      </c>
      <c r="I67" s="5">
        <v>1</v>
      </c>
    </row>
    <row r="68" spans="1:9" ht="23.05" customHeight="1">
      <c r="A68" s="4">
        <v>1000</v>
      </c>
      <c r="B68" s="4" t="s">
        <v>89</v>
      </c>
      <c r="C68" s="4">
        <v>2</v>
      </c>
      <c r="D68" s="4">
        <v>1</v>
      </c>
      <c r="E68" s="4">
        <v>2</v>
      </c>
      <c r="F68" s="4">
        <v>0</v>
      </c>
      <c r="G68" s="4">
        <v>100076</v>
      </c>
      <c r="H68" s="4">
        <v>100076</v>
      </c>
      <c r="I68" s="5">
        <v>1</v>
      </c>
    </row>
    <row r="69" spans="1:9" ht="23.05" customHeight="1">
      <c r="A69" s="4">
        <v>1000</v>
      </c>
      <c r="B69" s="4" t="s">
        <v>90</v>
      </c>
      <c r="C69" s="4">
        <v>4</v>
      </c>
      <c r="D69" s="4">
        <v>1</v>
      </c>
      <c r="E69" s="4">
        <v>4</v>
      </c>
      <c r="F69" s="4">
        <v>0</v>
      </c>
      <c r="G69" s="4">
        <v>105550</v>
      </c>
      <c r="H69" s="4">
        <v>105550</v>
      </c>
      <c r="I69" s="5">
        <v>1</v>
      </c>
    </row>
    <row r="70" spans="1:9" ht="23.05" customHeight="1">
      <c r="A70" s="4">
        <v>1000</v>
      </c>
      <c r="B70" s="4" t="s">
        <v>91</v>
      </c>
      <c r="C70" s="4">
        <v>3</v>
      </c>
      <c r="D70" s="4">
        <v>1</v>
      </c>
      <c r="E70" s="4">
        <v>3</v>
      </c>
      <c r="F70" s="4">
        <v>0</v>
      </c>
      <c r="G70" s="4">
        <v>36040</v>
      </c>
      <c r="H70" s="4">
        <v>36040</v>
      </c>
      <c r="I70" s="5">
        <v>1</v>
      </c>
    </row>
    <row r="71" spans="1:9" ht="23.05" customHeight="1">
      <c r="A71" s="4">
        <v>1000</v>
      </c>
      <c r="B71" s="4" t="s">
        <v>92</v>
      </c>
      <c r="C71" s="4">
        <v>7</v>
      </c>
      <c r="D71" s="4">
        <v>1</v>
      </c>
      <c r="E71" s="4">
        <v>7</v>
      </c>
      <c r="F71" s="4">
        <v>0</v>
      </c>
      <c r="G71" s="4">
        <v>386720</v>
      </c>
      <c r="H71" s="4">
        <v>386720</v>
      </c>
      <c r="I71" s="5">
        <v>1</v>
      </c>
    </row>
    <row r="72" spans="1:9" ht="23.05" customHeight="1">
      <c r="A72" s="4">
        <v>1000</v>
      </c>
      <c r="B72" s="4" t="s">
        <v>93</v>
      </c>
      <c r="C72" s="4">
        <v>1811</v>
      </c>
      <c r="D72" s="4">
        <v>609</v>
      </c>
      <c r="E72" s="4">
        <v>364</v>
      </c>
      <c r="F72" s="4">
        <v>1447</v>
      </c>
      <c r="G72" s="4">
        <v>188152</v>
      </c>
      <c r="H72" s="4">
        <v>188152</v>
      </c>
      <c r="I72" s="5">
        <v>1</v>
      </c>
    </row>
    <row r="73" spans="1:9" ht="23.05" customHeight="1">
      <c r="A73" s="4">
        <v>1000</v>
      </c>
      <c r="B73" s="4" t="s">
        <v>94</v>
      </c>
      <c r="C73" s="4">
        <v>67</v>
      </c>
      <c r="D73" s="4">
        <v>4</v>
      </c>
      <c r="E73" s="4">
        <v>67</v>
      </c>
      <c r="F73" s="4">
        <v>0</v>
      </c>
      <c r="G73" s="4">
        <v>440</v>
      </c>
      <c r="H73" s="4">
        <v>440</v>
      </c>
      <c r="I73" s="5">
        <v>1</v>
      </c>
    </row>
    <row r="74" spans="1:9" ht="23.05" customHeight="1">
      <c r="A74" s="4">
        <v>1000</v>
      </c>
      <c r="B74" s="4" t="s">
        <v>95</v>
      </c>
      <c r="C74" s="4">
        <v>7</v>
      </c>
      <c r="D74" s="4">
        <v>1</v>
      </c>
      <c r="E74" s="4">
        <v>7</v>
      </c>
      <c r="F74" s="4">
        <v>0</v>
      </c>
      <c r="G74" s="4">
        <v>188474</v>
      </c>
      <c r="H74" s="4">
        <v>188474</v>
      </c>
      <c r="I74" s="5">
        <v>1</v>
      </c>
    </row>
  </sheetData>
  <phoneticPr fontId="7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59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B5" sqref="B5"/>
    </sheetView>
  </sheetViews>
  <sheetFormatPr defaultRowHeight="14.15"/>
  <cols>
    <col min="1" max="11" width="19" customWidth="1"/>
  </cols>
  <sheetData>
    <row r="1" spans="1:11" ht="23.0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23.05" customHeight="1">
      <c r="A2" s="2" t="s">
        <v>96</v>
      </c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ht="23.0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ht="45" customHeight="1">
      <c r="A4" s="3" t="s">
        <v>35</v>
      </c>
      <c r="B4" s="3" t="s">
        <v>97</v>
      </c>
      <c r="C4" s="3" t="s">
        <v>37</v>
      </c>
      <c r="D4" s="3" t="s">
        <v>38</v>
      </c>
      <c r="E4" s="3" t="s">
        <v>98</v>
      </c>
      <c r="F4" s="3" t="s">
        <v>99</v>
      </c>
      <c r="G4" s="3" t="s">
        <v>100</v>
      </c>
      <c r="H4" s="3" t="s">
        <v>39</v>
      </c>
      <c r="I4" s="3" t="s">
        <v>40</v>
      </c>
      <c r="J4" s="3" t="s">
        <v>32</v>
      </c>
      <c r="K4" s="3" t="s">
        <v>44</v>
      </c>
    </row>
    <row r="5" spans="1:11" ht="23.05" customHeight="1">
      <c r="A5" s="4">
        <v>50</v>
      </c>
      <c r="B5" s="10">
        <v>43145</v>
      </c>
      <c r="C5" s="4">
        <v>189069</v>
      </c>
      <c r="D5" s="4">
        <v>26855</v>
      </c>
      <c r="E5" s="4">
        <v>188841</v>
      </c>
      <c r="F5" s="4">
        <v>228</v>
      </c>
      <c r="G5" s="4">
        <v>0</v>
      </c>
      <c r="H5" s="4">
        <v>2138838</v>
      </c>
      <c r="I5" s="4">
        <v>575194</v>
      </c>
      <c r="J5" s="5">
        <v>0.34307580830278894</v>
      </c>
      <c r="K5" s="4">
        <v>535</v>
      </c>
    </row>
    <row r="6" spans="1:11" ht="23.05" customHeight="1">
      <c r="A6" s="4">
        <v>50</v>
      </c>
      <c r="B6" s="10">
        <v>43146</v>
      </c>
      <c r="C6" s="4">
        <v>171650</v>
      </c>
      <c r="D6" s="4">
        <v>23854</v>
      </c>
      <c r="E6" s="4">
        <v>171577</v>
      </c>
      <c r="F6" s="4">
        <v>73</v>
      </c>
      <c r="G6" s="4">
        <v>0</v>
      </c>
      <c r="H6" s="4">
        <v>1665321</v>
      </c>
      <c r="I6" s="4">
        <v>97340</v>
      </c>
      <c r="J6" s="5">
        <v>0.34488202738129914</v>
      </c>
      <c r="K6" s="4">
        <v>235</v>
      </c>
    </row>
    <row r="7" spans="1:11" ht="23.05" customHeight="1">
      <c r="A7" s="4">
        <v>50</v>
      </c>
      <c r="B7" s="10">
        <v>43147</v>
      </c>
      <c r="C7" s="4">
        <v>161792</v>
      </c>
      <c r="D7" s="4">
        <v>23076</v>
      </c>
      <c r="E7" s="4">
        <v>161710</v>
      </c>
      <c r="F7" s="4">
        <v>82</v>
      </c>
      <c r="G7" s="4">
        <v>0</v>
      </c>
      <c r="H7" s="4">
        <v>1784129</v>
      </c>
      <c r="I7" s="4">
        <v>205626</v>
      </c>
      <c r="J7" s="5">
        <v>0.34957599881329116</v>
      </c>
      <c r="K7" s="4">
        <v>26</v>
      </c>
    </row>
    <row r="8" spans="1:11" ht="23.05" customHeight="1">
      <c r="A8" s="4">
        <v>50</v>
      </c>
      <c r="B8" s="10">
        <v>43151</v>
      </c>
      <c r="C8" s="4">
        <v>190547</v>
      </c>
      <c r="D8" s="4">
        <v>26318</v>
      </c>
      <c r="E8" s="4">
        <v>189701</v>
      </c>
      <c r="F8" s="4">
        <v>846</v>
      </c>
      <c r="G8" s="4">
        <v>0</v>
      </c>
      <c r="H8" s="4">
        <v>1829859</v>
      </c>
      <c r="I8" s="4">
        <v>288589</v>
      </c>
      <c r="J8" s="5">
        <v>0.34279416626868964</v>
      </c>
      <c r="K8" s="4">
        <v>198</v>
      </c>
    </row>
    <row r="9" spans="1:11" ht="23.05" customHeight="1">
      <c r="A9" s="4">
        <v>50</v>
      </c>
      <c r="B9" s="10">
        <v>43152</v>
      </c>
      <c r="C9" s="4">
        <v>196772</v>
      </c>
      <c r="D9" s="4">
        <v>26174</v>
      </c>
      <c r="E9" s="4">
        <v>195907</v>
      </c>
      <c r="F9" s="4">
        <v>865</v>
      </c>
      <c r="G9" s="4">
        <v>0</v>
      </c>
      <c r="H9" s="4">
        <v>2712803</v>
      </c>
      <c r="I9" s="4">
        <v>1035761</v>
      </c>
      <c r="J9" s="5">
        <v>0.3538318459943488</v>
      </c>
      <c r="K9" s="4">
        <v>555</v>
      </c>
    </row>
    <row r="10" spans="1:11" ht="23.05" customHeight="1">
      <c r="A10" s="4">
        <v>50</v>
      </c>
      <c r="B10" s="10">
        <v>43153</v>
      </c>
      <c r="C10" s="4">
        <v>215758</v>
      </c>
      <c r="D10" s="4">
        <v>25332</v>
      </c>
      <c r="E10" s="4">
        <v>213994</v>
      </c>
      <c r="F10" s="4">
        <v>1304</v>
      </c>
      <c r="G10" s="4">
        <v>460</v>
      </c>
      <c r="H10" s="4">
        <v>2040128</v>
      </c>
      <c r="I10" s="4">
        <v>2538</v>
      </c>
      <c r="J10" s="5">
        <v>0.3918176846281482</v>
      </c>
      <c r="K10" s="4">
        <v>322</v>
      </c>
    </row>
    <row r="11" spans="1:11" ht="23.05" customHeight="1">
      <c r="A11" s="4">
        <v>50</v>
      </c>
      <c r="B11" s="10">
        <v>43154</v>
      </c>
      <c r="C11" s="4">
        <v>202417</v>
      </c>
      <c r="D11" s="4">
        <v>25044</v>
      </c>
      <c r="E11" s="4">
        <v>202417</v>
      </c>
      <c r="F11" s="4">
        <v>0</v>
      </c>
      <c r="G11" s="4">
        <v>0</v>
      </c>
      <c r="H11" s="4">
        <v>1933002</v>
      </c>
      <c r="I11" s="4">
        <v>0</v>
      </c>
      <c r="J11" s="5">
        <v>0.38753167965141266</v>
      </c>
      <c r="K11" s="4">
        <v>175</v>
      </c>
    </row>
    <row r="12" spans="1:11" ht="23.05" customHeight="1">
      <c r="A12" s="4">
        <v>50</v>
      </c>
      <c r="B12" s="10">
        <v>43158</v>
      </c>
      <c r="C12" s="4">
        <v>424</v>
      </c>
      <c r="D12" s="4">
        <v>126</v>
      </c>
      <c r="E12" s="4">
        <v>424</v>
      </c>
      <c r="F12" s="4">
        <v>0</v>
      </c>
      <c r="G12" s="4">
        <v>0</v>
      </c>
      <c r="H12" s="4">
        <v>828</v>
      </c>
      <c r="I12" s="4">
        <v>0</v>
      </c>
      <c r="J12" s="5">
        <v>0.24575471698113208</v>
      </c>
      <c r="K12" s="4">
        <v>314</v>
      </c>
    </row>
    <row r="13" spans="1:11" ht="23.05" customHeight="1">
      <c r="A13" s="4">
        <v>50</v>
      </c>
      <c r="B13" s="10">
        <v>43159</v>
      </c>
      <c r="C13" s="4">
        <v>219639</v>
      </c>
      <c r="D13" s="4">
        <v>26948</v>
      </c>
      <c r="E13" s="4">
        <v>214797</v>
      </c>
      <c r="F13" s="4">
        <v>1610</v>
      </c>
      <c r="G13" s="4">
        <v>3232</v>
      </c>
      <c r="H13" s="4">
        <v>2032727</v>
      </c>
      <c r="I13" s="4">
        <v>84327</v>
      </c>
      <c r="J13" s="5">
        <v>0.39209065785220293</v>
      </c>
      <c r="K13" s="4">
        <v>656</v>
      </c>
    </row>
    <row r="14" spans="1:11" ht="23.05" customHeight="1">
      <c r="A14" s="4">
        <v>50</v>
      </c>
      <c r="B14" s="10">
        <v>43160</v>
      </c>
      <c r="C14" s="4">
        <v>222939</v>
      </c>
      <c r="D14" s="4">
        <v>25967</v>
      </c>
      <c r="E14" s="4">
        <v>218181</v>
      </c>
      <c r="F14" s="4">
        <v>2110</v>
      </c>
      <c r="G14" s="4">
        <v>2648</v>
      </c>
      <c r="H14" s="4">
        <v>2147533</v>
      </c>
      <c r="I14" s="4">
        <v>103825</v>
      </c>
      <c r="J14" s="5">
        <v>0.40059298731940129</v>
      </c>
      <c r="K14" s="4">
        <v>176</v>
      </c>
    </row>
    <row r="15" spans="1:11" ht="23.05" customHeight="1">
      <c r="A15" s="4">
        <v>50</v>
      </c>
      <c r="B15" s="10">
        <v>43161</v>
      </c>
      <c r="C15" s="4">
        <v>189834</v>
      </c>
      <c r="D15" s="4">
        <v>23689</v>
      </c>
      <c r="E15" s="4">
        <v>187067</v>
      </c>
      <c r="F15" s="4">
        <v>2621</v>
      </c>
      <c r="G15" s="4">
        <v>146</v>
      </c>
      <c r="H15" s="4">
        <v>1830361</v>
      </c>
      <c r="I15" s="4">
        <v>207703</v>
      </c>
      <c r="J15" s="5">
        <v>0.40830831147212826</v>
      </c>
      <c r="K15" s="4">
        <v>207</v>
      </c>
    </row>
    <row r="16" spans="1:11" ht="23.05" customHeight="1">
      <c r="A16" s="4">
        <v>100</v>
      </c>
      <c r="B16" s="10">
        <v>43145</v>
      </c>
      <c r="C16" s="4">
        <v>143530</v>
      </c>
      <c r="D16" s="4">
        <v>26855</v>
      </c>
      <c r="E16" s="4">
        <v>143415</v>
      </c>
      <c r="F16" s="4">
        <v>115</v>
      </c>
      <c r="G16" s="4">
        <v>0</v>
      </c>
      <c r="H16" s="4">
        <v>2138838</v>
      </c>
      <c r="I16" s="4">
        <v>575194</v>
      </c>
      <c r="J16" s="5">
        <v>0.22596321326551941</v>
      </c>
      <c r="K16" s="4">
        <v>639</v>
      </c>
    </row>
    <row r="17" spans="1:11" ht="23.05" customHeight="1">
      <c r="A17" s="4">
        <v>100</v>
      </c>
      <c r="B17" s="10">
        <v>43146</v>
      </c>
      <c r="C17" s="4">
        <v>128720</v>
      </c>
      <c r="D17" s="4">
        <v>23854</v>
      </c>
      <c r="E17" s="4">
        <v>128681</v>
      </c>
      <c r="F17" s="4">
        <v>39</v>
      </c>
      <c r="G17" s="4">
        <v>0</v>
      </c>
      <c r="H17" s="4">
        <v>1665321</v>
      </c>
      <c r="I17" s="4">
        <v>97340</v>
      </c>
      <c r="J17" s="5">
        <v>0.22995261031696707</v>
      </c>
      <c r="K17" s="4">
        <v>279</v>
      </c>
    </row>
    <row r="18" spans="1:11" ht="23.05" customHeight="1">
      <c r="A18" s="4">
        <v>100</v>
      </c>
      <c r="B18" s="10">
        <v>43147</v>
      </c>
      <c r="C18" s="4">
        <v>122787</v>
      </c>
      <c r="D18" s="4">
        <v>23076</v>
      </c>
      <c r="E18" s="4">
        <v>122745</v>
      </c>
      <c r="F18" s="4">
        <v>42</v>
      </c>
      <c r="G18" s="4">
        <v>0</v>
      </c>
      <c r="H18" s="4">
        <v>1784129</v>
      </c>
      <c r="I18" s="4">
        <v>205626</v>
      </c>
      <c r="J18" s="5">
        <v>0.23031184083005529</v>
      </c>
      <c r="K18" s="4">
        <v>148</v>
      </c>
    </row>
    <row r="19" spans="1:11" ht="23.05" customHeight="1">
      <c r="A19" s="4">
        <v>100</v>
      </c>
      <c r="B19" s="10">
        <v>43151</v>
      </c>
      <c r="C19" s="4">
        <v>146505</v>
      </c>
      <c r="D19" s="4">
        <v>26318</v>
      </c>
      <c r="E19" s="4">
        <v>146034</v>
      </c>
      <c r="F19" s="4">
        <v>471</v>
      </c>
      <c r="G19" s="4">
        <v>0</v>
      </c>
      <c r="H19" s="4">
        <v>1829859</v>
      </c>
      <c r="I19" s="4">
        <v>288589</v>
      </c>
      <c r="J19" s="5">
        <v>0.22292208457049248</v>
      </c>
      <c r="K19" s="4">
        <v>225</v>
      </c>
    </row>
    <row r="20" spans="1:11" ht="23.05" customHeight="1">
      <c r="A20" s="4">
        <v>100</v>
      </c>
      <c r="B20" s="10">
        <v>43152</v>
      </c>
      <c r="C20" s="4">
        <v>149141</v>
      </c>
      <c r="D20" s="4">
        <v>26174</v>
      </c>
      <c r="E20" s="4">
        <v>148613</v>
      </c>
      <c r="F20" s="4">
        <v>528</v>
      </c>
      <c r="G20" s="4">
        <v>0</v>
      </c>
      <c r="H20" s="4">
        <v>2712803</v>
      </c>
      <c r="I20" s="4">
        <v>1035761</v>
      </c>
      <c r="J20" s="5">
        <v>0.23341737013966649</v>
      </c>
      <c r="K20" s="4">
        <v>634</v>
      </c>
    </row>
    <row r="21" spans="1:11" ht="23.05" customHeight="1">
      <c r="A21" s="4">
        <v>100</v>
      </c>
      <c r="B21" s="10">
        <v>43153</v>
      </c>
      <c r="C21" s="4">
        <v>158309</v>
      </c>
      <c r="D21" s="4">
        <v>25332</v>
      </c>
      <c r="E21" s="4">
        <v>156607</v>
      </c>
      <c r="F21" s="4">
        <v>1192</v>
      </c>
      <c r="G21" s="4">
        <v>510</v>
      </c>
      <c r="H21" s="4">
        <v>2040128</v>
      </c>
      <c r="I21" s="4">
        <v>2538</v>
      </c>
      <c r="J21" s="5">
        <v>0.26700250775382323</v>
      </c>
      <c r="K21" s="4">
        <v>555</v>
      </c>
    </row>
    <row r="22" spans="1:11" ht="23.05" customHeight="1">
      <c r="A22" s="4">
        <v>100</v>
      </c>
      <c r="B22" s="10">
        <v>43154</v>
      </c>
      <c r="C22" s="4">
        <v>150449</v>
      </c>
      <c r="D22" s="4">
        <v>25044</v>
      </c>
      <c r="E22" s="4">
        <v>150449</v>
      </c>
      <c r="F22" s="4">
        <v>0</v>
      </c>
      <c r="G22" s="4">
        <v>0</v>
      </c>
      <c r="H22" s="4">
        <v>1933002</v>
      </c>
      <c r="I22" s="4">
        <v>0</v>
      </c>
      <c r="J22" s="5">
        <v>0.26069631569501955</v>
      </c>
      <c r="K22" s="4">
        <v>197</v>
      </c>
    </row>
    <row r="23" spans="1:11" ht="23.05" customHeight="1">
      <c r="A23" s="4">
        <v>100</v>
      </c>
      <c r="B23" s="10">
        <v>43158</v>
      </c>
      <c r="C23" s="4">
        <v>376</v>
      </c>
      <c r="D23" s="4">
        <v>126</v>
      </c>
      <c r="E23" s="4">
        <v>376</v>
      </c>
      <c r="F23" s="4">
        <v>0</v>
      </c>
      <c r="G23" s="4">
        <v>0</v>
      </c>
      <c r="H23" s="4">
        <v>828</v>
      </c>
      <c r="I23" s="4">
        <v>0</v>
      </c>
      <c r="J23" s="5">
        <v>0.13856382978723406</v>
      </c>
      <c r="K23" s="4">
        <v>334</v>
      </c>
    </row>
    <row r="24" spans="1:11" ht="23.05" customHeight="1">
      <c r="A24" s="4">
        <v>100</v>
      </c>
      <c r="B24" s="10">
        <v>43159</v>
      </c>
      <c r="C24" s="4">
        <v>164599</v>
      </c>
      <c r="D24" s="4">
        <v>26948</v>
      </c>
      <c r="E24" s="4">
        <v>161338</v>
      </c>
      <c r="F24" s="4">
        <v>822</v>
      </c>
      <c r="G24" s="4">
        <v>2439</v>
      </c>
      <c r="H24" s="4">
        <v>2032727</v>
      </c>
      <c r="I24" s="4">
        <v>84327</v>
      </c>
      <c r="J24" s="5">
        <v>0.26160061725769901</v>
      </c>
      <c r="K24" s="4">
        <v>915</v>
      </c>
    </row>
    <row r="25" spans="1:11" ht="23.05" customHeight="1">
      <c r="A25" s="4">
        <v>100</v>
      </c>
      <c r="B25" s="10">
        <v>43160</v>
      </c>
      <c r="C25" s="4">
        <v>164233</v>
      </c>
      <c r="D25" s="4">
        <v>25967</v>
      </c>
      <c r="E25" s="4">
        <v>160860</v>
      </c>
      <c r="F25" s="4">
        <v>1250</v>
      </c>
      <c r="G25" s="4">
        <v>2123</v>
      </c>
      <c r="H25" s="4">
        <v>2147533</v>
      </c>
      <c r="I25" s="4">
        <v>103825</v>
      </c>
      <c r="J25" s="5">
        <v>0.27189359020416115</v>
      </c>
      <c r="K25" s="4">
        <v>526</v>
      </c>
    </row>
    <row r="26" spans="1:11" ht="23.05" customHeight="1">
      <c r="A26" s="4">
        <v>100</v>
      </c>
      <c r="B26" s="10">
        <v>43161</v>
      </c>
      <c r="C26" s="4">
        <v>138016</v>
      </c>
      <c r="D26" s="4">
        <v>23689</v>
      </c>
      <c r="E26" s="4">
        <v>136629</v>
      </c>
      <c r="F26" s="4">
        <v>1249</v>
      </c>
      <c r="G26" s="4">
        <v>138</v>
      </c>
      <c r="H26" s="4">
        <v>1830361</v>
      </c>
      <c r="I26" s="4">
        <v>207703</v>
      </c>
      <c r="J26" s="5">
        <v>0.28080367493623926</v>
      </c>
      <c r="K26" s="4">
        <v>426</v>
      </c>
    </row>
    <row r="27" spans="1:11" ht="23.05" customHeight="1">
      <c r="A27" s="4">
        <v>200</v>
      </c>
      <c r="B27" s="10">
        <v>43145</v>
      </c>
      <c r="C27" s="4">
        <v>109615</v>
      </c>
      <c r="D27" s="4">
        <v>26855</v>
      </c>
      <c r="E27" s="4">
        <v>109557</v>
      </c>
      <c r="F27" s="4">
        <v>58</v>
      </c>
      <c r="G27" s="4">
        <v>0</v>
      </c>
      <c r="H27" s="4">
        <v>2138838</v>
      </c>
      <c r="I27" s="4">
        <v>575194</v>
      </c>
      <c r="J27" s="5">
        <v>0.14793823837978379</v>
      </c>
      <c r="K27" s="4">
        <v>797</v>
      </c>
    </row>
    <row r="28" spans="1:11" ht="23.05" customHeight="1">
      <c r="A28" s="4">
        <v>200</v>
      </c>
      <c r="B28" s="10">
        <v>43146</v>
      </c>
      <c r="C28" s="4">
        <v>97984</v>
      </c>
      <c r="D28" s="4">
        <v>23854</v>
      </c>
      <c r="E28" s="4">
        <v>97961</v>
      </c>
      <c r="F28" s="4">
        <v>23</v>
      </c>
      <c r="G28" s="4">
        <v>0</v>
      </c>
      <c r="H28" s="4">
        <v>1665321</v>
      </c>
      <c r="I28" s="4">
        <v>97340</v>
      </c>
      <c r="J28" s="5">
        <v>0.15104251714565645</v>
      </c>
      <c r="K28" s="4">
        <v>277</v>
      </c>
    </row>
    <row r="29" spans="1:11" ht="23.05" customHeight="1">
      <c r="A29" s="4">
        <v>200</v>
      </c>
      <c r="B29" s="10">
        <v>43147</v>
      </c>
      <c r="C29" s="4">
        <v>94384</v>
      </c>
      <c r="D29" s="4">
        <v>23076</v>
      </c>
      <c r="E29" s="4">
        <v>94362</v>
      </c>
      <c r="F29" s="4">
        <v>22</v>
      </c>
      <c r="G29" s="4">
        <v>0</v>
      </c>
      <c r="H29" s="4">
        <v>1784129</v>
      </c>
      <c r="I29" s="4">
        <v>205626</v>
      </c>
      <c r="J29" s="5">
        <v>0.14980981946092559</v>
      </c>
      <c r="K29" s="4">
        <v>422</v>
      </c>
    </row>
    <row r="30" spans="1:11" ht="23.05" customHeight="1">
      <c r="A30" s="4">
        <v>200</v>
      </c>
      <c r="B30" s="10">
        <v>43151</v>
      </c>
      <c r="C30" s="4">
        <v>113389</v>
      </c>
      <c r="D30" s="4">
        <v>26318</v>
      </c>
      <c r="E30" s="4">
        <v>113144</v>
      </c>
      <c r="F30" s="4">
        <v>245</v>
      </c>
      <c r="G30" s="4">
        <v>0</v>
      </c>
      <c r="H30" s="4">
        <v>1829859</v>
      </c>
      <c r="I30" s="4">
        <v>288589</v>
      </c>
      <c r="J30" s="5">
        <v>0.14401396960904497</v>
      </c>
      <c r="K30" s="4">
        <v>533</v>
      </c>
    </row>
    <row r="31" spans="1:11" ht="23.05" customHeight="1">
      <c r="A31" s="4">
        <v>200</v>
      </c>
      <c r="B31" s="10">
        <v>43152</v>
      </c>
      <c r="C31" s="4">
        <v>114389</v>
      </c>
      <c r="D31" s="4">
        <v>26174</v>
      </c>
      <c r="E31" s="4">
        <v>114110</v>
      </c>
      <c r="F31" s="4">
        <v>279</v>
      </c>
      <c r="G31" s="4">
        <v>0</v>
      </c>
      <c r="H31" s="4">
        <v>2712803</v>
      </c>
      <c r="I31" s="4">
        <v>1035761</v>
      </c>
      <c r="J31" s="5">
        <v>0.15216541800347935</v>
      </c>
      <c r="K31" s="4">
        <v>911</v>
      </c>
    </row>
    <row r="32" spans="1:11" ht="23.05" customHeight="1">
      <c r="A32" s="4">
        <v>200</v>
      </c>
      <c r="B32" s="10">
        <v>43153</v>
      </c>
      <c r="C32" s="4">
        <v>118250</v>
      </c>
      <c r="D32" s="4">
        <v>25332</v>
      </c>
      <c r="E32" s="4">
        <v>116712</v>
      </c>
      <c r="F32" s="4">
        <v>1002</v>
      </c>
      <c r="G32" s="4">
        <v>536</v>
      </c>
      <c r="H32" s="4">
        <v>2040128</v>
      </c>
      <c r="I32" s="4">
        <v>2538</v>
      </c>
      <c r="J32" s="5">
        <v>0.17872684989429174</v>
      </c>
      <c r="K32" s="4">
        <v>535</v>
      </c>
    </row>
    <row r="33" spans="1:11" ht="23.05" customHeight="1">
      <c r="A33" s="4">
        <v>200</v>
      </c>
      <c r="B33" s="10">
        <v>43154</v>
      </c>
      <c r="C33" s="4">
        <v>113468</v>
      </c>
      <c r="D33" s="4">
        <v>25044</v>
      </c>
      <c r="E33" s="4">
        <v>113468</v>
      </c>
      <c r="F33" s="4">
        <v>0</v>
      </c>
      <c r="G33" s="4">
        <v>0</v>
      </c>
      <c r="H33" s="4">
        <v>1933002</v>
      </c>
      <c r="I33" s="4">
        <v>0</v>
      </c>
      <c r="J33" s="5">
        <v>0.1728306659146191</v>
      </c>
      <c r="K33" s="4">
        <v>536</v>
      </c>
    </row>
    <row r="34" spans="1:11" ht="23.05" customHeight="1">
      <c r="A34" s="4">
        <v>200</v>
      </c>
      <c r="B34" s="10">
        <v>43158</v>
      </c>
      <c r="C34" s="4">
        <v>343</v>
      </c>
      <c r="D34" s="4">
        <v>126</v>
      </c>
      <c r="E34" s="4">
        <v>343</v>
      </c>
      <c r="F34" s="4">
        <v>0</v>
      </c>
      <c r="G34" s="4">
        <v>0</v>
      </c>
      <c r="H34" s="4">
        <v>828</v>
      </c>
      <c r="I34" s="4">
        <v>0</v>
      </c>
      <c r="J34" s="5">
        <v>7.5947521865889212E-2</v>
      </c>
      <c r="K34" s="4">
        <v>343</v>
      </c>
    </row>
    <row r="35" spans="1:11" ht="23.05" customHeight="1">
      <c r="A35" s="4">
        <v>200</v>
      </c>
      <c r="B35" s="10">
        <v>43159</v>
      </c>
      <c r="C35" s="4">
        <v>126377</v>
      </c>
      <c r="D35" s="4">
        <v>26948</v>
      </c>
      <c r="E35" s="4">
        <v>124257</v>
      </c>
      <c r="F35" s="4">
        <v>383</v>
      </c>
      <c r="G35" s="4">
        <v>1737</v>
      </c>
      <c r="H35" s="4">
        <v>2032727</v>
      </c>
      <c r="I35" s="4">
        <v>84327</v>
      </c>
      <c r="J35" s="5">
        <v>0.17036011299524439</v>
      </c>
      <c r="K35" s="4">
        <v>1358</v>
      </c>
    </row>
    <row r="36" spans="1:11" ht="23.05" customHeight="1">
      <c r="A36" s="4">
        <v>200</v>
      </c>
      <c r="B36" s="10">
        <v>43160</v>
      </c>
      <c r="C36" s="4">
        <v>123535</v>
      </c>
      <c r="D36" s="4">
        <v>25967</v>
      </c>
      <c r="E36" s="4">
        <v>121215</v>
      </c>
      <c r="F36" s="4">
        <v>696</v>
      </c>
      <c r="G36" s="4">
        <v>1624</v>
      </c>
      <c r="H36" s="4">
        <v>2147533</v>
      </c>
      <c r="I36" s="4">
        <v>103825</v>
      </c>
      <c r="J36" s="5">
        <v>0.18073380013761281</v>
      </c>
      <c r="K36" s="4">
        <v>522</v>
      </c>
    </row>
    <row r="37" spans="1:11" ht="23.05" customHeight="1">
      <c r="A37" s="4">
        <v>200</v>
      </c>
      <c r="B37" s="10">
        <v>43161</v>
      </c>
      <c r="C37" s="4">
        <v>102946</v>
      </c>
      <c r="D37" s="4">
        <v>23689</v>
      </c>
      <c r="E37" s="4">
        <v>102247</v>
      </c>
      <c r="F37" s="4">
        <v>573</v>
      </c>
      <c r="G37" s="4">
        <v>126</v>
      </c>
      <c r="H37" s="4">
        <v>1830361</v>
      </c>
      <c r="I37" s="4">
        <v>207703</v>
      </c>
      <c r="J37" s="5">
        <v>0.18823169428632486</v>
      </c>
      <c r="K37" s="4">
        <v>426</v>
      </c>
    </row>
    <row r="38" spans="1:11" ht="23.05" customHeight="1">
      <c r="A38" s="4">
        <v>500</v>
      </c>
      <c r="B38" s="10">
        <v>43145</v>
      </c>
      <c r="C38" s="4">
        <v>79275</v>
      </c>
      <c r="D38" s="4">
        <v>26849</v>
      </c>
      <c r="E38" s="4">
        <v>79250</v>
      </c>
      <c r="F38" s="4">
        <v>25</v>
      </c>
      <c r="G38" s="4">
        <v>0</v>
      </c>
      <c r="H38" s="4">
        <v>2138761</v>
      </c>
      <c r="I38" s="4">
        <v>575194</v>
      </c>
      <c r="J38" s="5">
        <v>8.1808136234626294E-2</v>
      </c>
      <c r="K38" s="4">
        <v>724</v>
      </c>
    </row>
    <row r="39" spans="1:11" ht="23.05" customHeight="1">
      <c r="A39" s="4">
        <v>500</v>
      </c>
      <c r="B39" s="10">
        <v>43146</v>
      </c>
      <c r="C39" s="4">
        <v>70981</v>
      </c>
      <c r="D39" s="4">
        <v>23854</v>
      </c>
      <c r="E39" s="4">
        <v>70969</v>
      </c>
      <c r="F39" s="4">
        <v>12</v>
      </c>
      <c r="G39" s="4">
        <v>0</v>
      </c>
      <c r="H39" s="4">
        <v>1665319</v>
      </c>
      <c r="I39" s="4">
        <v>97340</v>
      </c>
      <c r="J39" s="5">
        <v>8.3400628337160651E-2</v>
      </c>
      <c r="K39" s="4">
        <v>1226</v>
      </c>
    </row>
    <row r="40" spans="1:11" ht="23.05" customHeight="1">
      <c r="A40" s="4">
        <v>500</v>
      </c>
      <c r="B40" s="10">
        <v>43147</v>
      </c>
      <c r="C40" s="4">
        <v>68514</v>
      </c>
      <c r="D40" s="4">
        <v>23076</v>
      </c>
      <c r="E40" s="4">
        <v>68504</v>
      </c>
      <c r="F40" s="4">
        <v>10</v>
      </c>
      <c r="G40" s="4">
        <v>0</v>
      </c>
      <c r="H40" s="4">
        <v>1784129</v>
      </c>
      <c r="I40" s="4">
        <v>205626</v>
      </c>
      <c r="J40" s="5">
        <v>8.2550427649823399E-2</v>
      </c>
      <c r="K40" s="4">
        <v>135</v>
      </c>
    </row>
    <row r="41" spans="1:11" ht="23.05" customHeight="1">
      <c r="A41" s="4">
        <v>500</v>
      </c>
      <c r="B41" s="10">
        <v>43151</v>
      </c>
      <c r="C41" s="4">
        <v>82478</v>
      </c>
      <c r="D41" s="4">
        <v>26318</v>
      </c>
      <c r="E41" s="4">
        <v>82373</v>
      </c>
      <c r="F41" s="4">
        <v>105</v>
      </c>
      <c r="G41" s="4">
        <v>0</v>
      </c>
      <c r="H41" s="4">
        <v>1829859</v>
      </c>
      <c r="I41" s="4">
        <v>288589</v>
      </c>
      <c r="J41" s="5">
        <v>7.9194936831639959E-2</v>
      </c>
      <c r="K41" s="4">
        <v>517</v>
      </c>
    </row>
    <row r="42" spans="1:11" ht="23.05" customHeight="1">
      <c r="A42" s="4">
        <v>500</v>
      </c>
      <c r="B42" s="10">
        <v>43152</v>
      </c>
      <c r="C42" s="4">
        <v>82428</v>
      </c>
      <c r="D42" s="4">
        <v>26171</v>
      </c>
      <c r="E42" s="4">
        <v>82299</v>
      </c>
      <c r="F42" s="4">
        <v>129</v>
      </c>
      <c r="G42" s="4">
        <v>0</v>
      </c>
      <c r="H42" s="4">
        <v>2712765</v>
      </c>
      <c r="I42" s="4">
        <v>1035761</v>
      </c>
      <c r="J42" s="5">
        <v>8.4459164361624692E-2</v>
      </c>
      <c r="K42" s="4">
        <v>1002</v>
      </c>
    </row>
    <row r="43" spans="1:11" ht="23.05" customHeight="1">
      <c r="A43" s="4">
        <v>500</v>
      </c>
      <c r="B43" s="10">
        <v>43153</v>
      </c>
      <c r="C43" s="4">
        <v>83483</v>
      </c>
      <c r="D43" s="4">
        <v>25332</v>
      </c>
      <c r="E43" s="4">
        <v>82295</v>
      </c>
      <c r="F43" s="4">
        <v>636</v>
      </c>
      <c r="G43" s="4">
        <v>552</v>
      </c>
      <c r="H43" s="4">
        <v>2040128</v>
      </c>
      <c r="I43" s="4">
        <v>2538</v>
      </c>
      <c r="J43" s="5">
        <v>0.10126349077057605</v>
      </c>
      <c r="K43" s="4">
        <v>1422</v>
      </c>
    </row>
    <row r="44" spans="1:11" ht="23.05" customHeight="1">
      <c r="A44" s="4">
        <v>500</v>
      </c>
      <c r="B44" s="10">
        <v>43154</v>
      </c>
      <c r="C44" s="4">
        <v>80941</v>
      </c>
      <c r="D44" s="4">
        <v>25044</v>
      </c>
      <c r="E44" s="4">
        <v>80941</v>
      </c>
      <c r="F44" s="4">
        <v>0</v>
      </c>
      <c r="G44" s="4">
        <v>0</v>
      </c>
      <c r="H44" s="4">
        <v>1933002</v>
      </c>
      <c r="I44" s="4">
        <v>0</v>
      </c>
      <c r="J44" s="5">
        <v>9.6913801410904235E-2</v>
      </c>
      <c r="K44" s="4">
        <v>1290</v>
      </c>
    </row>
    <row r="45" spans="1:11" ht="23.05" customHeight="1">
      <c r="A45" s="4">
        <v>500</v>
      </c>
      <c r="B45" s="10">
        <v>43158</v>
      </c>
      <c r="C45" s="4">
        <v>284</v>
      </c>
      <c r="D45" s="4">
        <v>123</v>
      </c>
      <c r="E45" s="4">
        <v>284</v>
      </c>
      <c r="F45" s="4">
        <v>0</v>
      </c>
      <c r="G45" s="4">
        <v>0</v>
      </c>
      <c r="H45" s="4">
        <v>717</v>
      </c>
      <c r="I45" s="4">
        <v>0</v>
      </c>
      <c r="J45" s="5">
        <v>3.4295774647887321E-2</v>
      </c>
      <c r="K45" s="4">
        <v>284</v>
      </c>
    </row>
    <row r="46" spans="1:11" ht="23.05" customHeight="1">
      <c r="A46" s="4">
        <v>500</v>
      </c>
      <c r="B46" s="10">
        <v>43159</v>
      </c>
      <c r="C46" s="4">
        <v>91418</v>
      </c>
      <c r="D46" s="4">
        <v>26943</v>
      </c>
      <c r="E46" s="4">
        <v>90241</v>
      </c>
      <c r="F46" s="4">
        <v>165</v>
      </c>
      <c r="G46" s="4">
        <v>1012</v>
      </c>
      <c r="H46" s="4">
        <v>2032505</v>
      </c>
      <c r="I46" s="4">
        <v>84327</v>
      </c>
      <c r="J46" s="5">
        <v>9.4172701218578403E-2</v>
      </c>
      <c r="K46" s="4">
        <v>989</v>
      </c>
    </row>
    <row r="47" spans="1:11" ht="23.05" customHeight="1">
      <c r="A47" s="4">
        <v>500</v>
      </c>
      <c r="B47" s="10">
        <v>43160</v>
      </c>
      <c r="C47" s="4">
        <v>87971</v>
      </c>
      <c r="D47" s="4">
        <v>25967</v>
      </c>
      <c r="E47" s="4">
        <v>86575</v>
      </c>
      <c r="F47" s="4">
        <v>331</v>
      </c>
      <c r="G47" s="4">
        <v>1065</v>
      </c>
      <c r="H47" s="4">
        <v>2147533</v>
      </c>
      <c r="I47" s="4">
        <v>103825</v>
      </c>
      <c r="J47" s="5">
        <v>0.10151959168362301</v>
      </c>
      <c r="K47" s="4">
        <v>1311</v>
      </c>
    </row>
    <row r="48" spans="1:11" ht="23.05" customHeight="1">
      <c r="A48" s="4">
        <v>500</v>
      </c>
      <c r="B48" s="10">
        <v>43161</v>
      </c>
      <c r="C48" s="4">
        <v>73002</v>
      </c>
      <c r="D48" s="4">
        <v>23689</v>
      </c>
      <c r="E48" s="4">
        <v>72716</v>
      </c>
      <c r="F48" s="4">
        <v>184</v>
      </c>
      <c r="G48" s="4">
        <v>102</v>
      </c>
      <c r="H48" s="4">
        <v>1830361</v>
      </c>
      <c r="I48" s="4">
        <v>207703</v>
      </c>
      <c r="J48" s="5">
        <v>0.10617626914331114</v>
      </c>
      <c r="K48" s="4">
        <v>878</v>
      </c>
    </row>
    <row r="49" spans="1:11" ht="23.05" customHeight="1">
      <c r="A49" s="4">
        <v>1000</v>
      </c>
      <c r="B49" s="10">
        <v>43145</v>
      </c>
      <c r="C49" s="4">
        <v>64905</v>
      </c>
      <c r="D49" s="4">
        <v>26849</v>
      </c>
      <c r="E49" s="4">
        <v>64891</v>
      </c>
      <c r="F49" s="4">
        <v>14</v>
      </c>
      <c r="G49" s="4">
        <v>0</v>
      </c>
      <c r="H49" s="4">
        <v>2138761</v>
      </c>
      <c r="I49" s="4">
        <v>575194</v>
      </c>
      <c r="J49" s="5">
        <v>4.9960249595562743E-2</v>
      </c>
      <c r="K49" s="4">
        <v>644</v>
      </c>
    </row>
    <row r="50" spans="1:11" ht="23.05" customHeight="1">
      <c r="A50" s="4">
        <v>1000</v>
      </c>
      <c r="B50" s="10">
        <v>43146</v>
      </c>
      <c r="C50" s="4">
        <v>58290</v>
      </c>
      <c r="D50" s="4">
        <v>23854</v>
      </c>
      <c r="E50" s="4">
        <v>58283</v>
      </c>
      <c r="F50" s="4">
        <v>7</v>
      </c>
      <c r="G50" s="4">
        <v>0</v>
      </c>
      <c r="H50" s="4">
        <v>1665319</v>
      </c>
      <c r="I50" s="4">
        <v>97340</v>
      </c>
      <c r="J50" s="5">
        <v>5.0779378967232801E-2</v>
      </c>
      <c r="K50" s="4">
        <v>1244</v>
      </c>
    </row>
    <row r="51" spans="1:11" ht="23.05" customHeight="1">
      <c r="A51" s="4">
        <v>1000</v>
      </c>
      <c r="B51" s="10">
        <v>43147</v>
      </c>
      <c r="C51" s="4">
        <v>56253</v>
      </c>
      <c r="D51" s="4">
        <v>23076</v>
      </c>
      <c r="E51" s="4">
        <v>56247</v>
      </c>
      <c r="F51" s="4">
        <v>6</v>
      </c>
      <c r="G51" s="4">
        <v>0</v>
      </c>
      <c r="H51" s="4">
        <v>1784129</v>
      </c>
      <c r="I51" s="4">
        <v>205626</v>
      </c>
      <c r="J51" s="5">
        <v>5.0271629957513379E-2</v>
      </c>
      <c r="K51" s="4">
        <v>1203</v>
      </c>
    </row>
    <row r="52" spans="1:11" ht="23.05" customHeight="1">
      <c r="A52" s="4">
        <v>1000</v>
      </c>
      <c r="B52" s="10">
        <v>43151</v>
      </c>
      <c r="C52" s="4">
        <v>67185</v>
      </c>
      <c r="D52" s="4">
        <v>26318</v>
      </c>
      <c r="E52" s="4">
        <v>67130</v>
      </c>
      <c r="F52" s="4">
        <v>55</v>
      </c>
      <c r="G52" s="4">
        <v>0</v>
      </c>
      <c r="H52" s="4">
        <v>1829859</v>
      </c>
      <c r="I52" s="4">
        <v>288589</v>
      </c>
      <c r="J52" s="5">
        <v>4.8610850636302744E-2</v>
      </c>
      <c r="K52" s="4">
        <v>497</v>
      </c>
    </row>
    <row r="53" spans="1:11" ht="23.05" customHeight="1">
      <c r="A53" s="4">
        <v>1000</v>
      </c>
      <c r="B53" s="10">
        <v>43152</v>
      </c>
      <c r="C53" s="4">
        <v>66981</v>
      </c>
      <c r="D53" s="4">
        <v>26171</v>
      </c>
      <c r="E53" s="4">
        <v>66912</v>
      </c>
      <c r="F53" s="4">
        <v>69</v>
      </c>
      <c r="G53" s="4">
        <v>0</v>
      </c>
      <c r="H53" s="4">
        <v>2712765</v>
      </c>
      <c r="I53" s="4">
        <v>1035761</v>
      </c>
      <c r="J53" s="5">
        <v>5.1968468670219911E-2</v>
      </c>
      <c r="K53" s="4">
        <v>1842</v>
      </c>
    </row>
    <row r="54" spans="1:11" ht="23.05" customHeight="1">
      <c r="A54" s="4">
        <v>1000</v>
      </c>
      <c r="B54" s="10">
        <v>43153</v>
      </c>
      <c r="C54" s="4">
        <v>67411</v>
      </c>
      <c r="D54" s="4">
        <v>25332</v>
      </c>
      <c r="E54" s="4">
        <v>66370</v>
      </c>
      <c r="F54" s="4">
        <v>489</v>
      </c>
      <c r="G54" s="4">
        <v>552</v>
      </c>
      <c r="H54" s="4">
        <v>2040128</v>
      </c>
      <c r="I54" s="4">
        <v>2538</v>
      </c>
      <c r="J54" s="5">
        <v>6.2703268012638883E-2</v>
      </c>
      <c r="K54" s="4">
        <v>2281</v>
      </c>
    </row>
    <row r="55" spans="1:11" ht="23.05" customHeight="1">
      <c r="A55" s="4">
        <v>1000</v>
      </c>
      <c r="B55" s="10">
        <v>43154</v>
      </c>
      <c r="C55" s="4">
        <v>65347</v>
      </c>
      <c r="D55" s="4">
        <v>25044</v>
      </c>
      <c r="E55" s="4">
        <v>65347</v>
      </c>
      <c r="F55" s="4">
        <v>0</v>
      </c>
      <c r="G55" s="4">
        <v>0</v>
      </c>
      <c r="H55" s="4">
        <v>1933002</v>
      </c>
      <c r="I55" s="4">
        <v>0</v>
      </c>
      <c r="J55" s="5">
        <v>6.0020352885365814E-2</v>
      </c>
      <c r="K55" s="4">
        <v>2203</v>
      </c>
    </row>
    <row r="56" spans="1:11" ht="23.05" customHeight="1">
      <c r="A56" s="4">
        <v>1000</v>
      </c>
      <c r="B56" s="10">
        <v>43158</v>
      </c>
      <c r="C56" s="4">
        <v>262</v>
      </c>
      <c r="D56" s="4">
        <v>123</v>
      </c>
      <c r="E56" s="4">
        <v>262</v>
      </c>
      <c r="F56" s="4">
        <v>0</v>
      </c>
      <c r="G56" s="4">
        <v>0</v>
      </c>
      <c r="H56" s="4">
        <v>717</v>
      </c>
      <c r="I56" s="4">
        <v>0</v>
      </c>
      <c r="J56" s="5">
        <v>1.8587786259541984E-2</v>
      </c>
      <c r="K56" s="4">
        <v>262</v>
      </c>
    </row>
    <row r="57" spans="1:11" ht="23.05" customHeight="1">
      <c r="A57" s="4">
        <v>1000</v>
      </c>
      <c r="B57" s="10">
        <v>43159</v>
      </c>
      <c r="C57" s="4">
        <v>74176</v>
      </c>
      <c r="D57" s="4">
        <v>26943</v>
      </c>
      <c r="E57" s="4">
        <v>73364</v>
      </c>
      <c r="F57" s="4">
        <v>118</v>
      </c>
      <c r="G57" s="4">
        <v>694</v>
      </c>
      <c r="H57" s="4">
        <v>2032505</v>
      </c>
      <c r="I57" s="4">
        <v>84327</v>
      </c>
      <c r="J57" s="5">
        <v>5.8031438740293359E-2</v>
      </c>
      <c r="K57" s="4">
        <v>2371</v>
      </c>
    </row>
    <row r="58" spans="1:11" ht="23.05" customHeight="1">
      <c r="A58" s="4">
        <v>1000</v>
      </c>
      <c r="B58" s="10">
        <v>43160</v>
      </c>
      <c r="C58" s="4">
        <v>70631</v>
      </c>
      <c r="D58" s="4">
        <v>25967</v>
      </c>
      <c r="E58" s="4">
        <v>69632</v>
      </c>
      <c r="F58" s="4">
        <v>246</v>
      </c>
      <c r="G58" s="4">
        <v>753</v>
      </c>
      <c r="H58" s="4">
        <v>2147533</v>
      </c>
      <c r="I58" s="4">
        <v>103825</v>
      </c>
      <c r="J58" s="5">
        <v>6.3221390041200046E-2</v>
      </c>
      <c r="K58" s="4">
        <v>2303</v>
      </c>
    </row>
    <row r="59" spans="1:11" ht="23.05" customHeight="1">
      <c r="A59" s="4">
        <v>1000</v>
      </c>
      <c r="B59" s="10">
        <v>43161</v>
      </c>
      <c r="C59" s="4">
        <v>58815</v>
      </c>
      <c r="D59" s="4">
        <v>23689</v>
      </c>
      <c r="E59" s="4">
        <v>58670</v>
      </c>
      <c r="F59" s="4">
        <v>64</v>
      </c>
      <c r="G59" s="4">
        <v>81</v>
      </c>
      <c r="H59" s="4">
        <v>1830361</v>
      </c>
      <c r="I59" s="4">
        <v>207703</v>
      </c>
      <c r="J59" s="5">
        <v>6.5893734591515776E-2</v>
      </c>
      <c r="K59" s="4">
        <v>878</v>
      </c>
    </row>
  </sheetData>
  <phoneticPr fontId="7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9"/>
  <sheetViews>
    <sheetView showGridLines="0" workbookViewId="0"/>
  </sheetViews>
  <sheetFormatPr defaultRowHeight="14.15"/>
  <cols>
    <col min="1" max="3" width="19" customWidth="1"/>
    <col min="4" max="4" width="27" customWidth="1"/>
    <col min="5" max="6" width="23" customWidth="1"/>
    <col min="7" max="16" width="19" customWidth="1"/>
  </cols>
  <sheetData>
    <row r="1" spans="1:16" ht="23.0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23.05" customHeight="1">
      <c r="A2" s="2" t="s">
        <v>101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23.0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 ht="45" customHeight="1">
      <c r="A4" s="3" t="s">
        <v>35</v>
      </c>
      <c r="B4" s="3" t="s">
        <v>74</v>
      </c>
      <c r="C4" s="3" t="s">
        <v>37</v>
      </c>
      <c r="D4" s="3" t="s">
        <v>102</v>
      </c>
      <c r="E4" s="3" t="s">
        <v>103</v>
      </c>
      <c r="F4" s="3" t="s">
        <v>44</v>
      </c>
      <c r="G4" s="3" t="s">
        <v>104</v>
      </c>
      <c r="H4" s="3" t="s">
        <v>105</v>
      </c>
      <c r="I4" s="3" t="s">
        <v>106</v>
      </c>
      <c r="J4" s="3" t="s">
        <v>79</v>
      </c>
      <c r="K4" s="3" t="s">
        <v>80</v>
      </c>
      <c r="L4" s="3" t="s">
        <v>107</v>
      </c>
      <c r="M4" s="3" t="s">
        <v>81</v>
      </c>
      <c r="N4" s="3" t="s">
        <v>108</v>
      </c>
      <c r="O4" s="3" t="s">
        <v>109</v>
      </c>
      <c r="P4" s="3" t="s">
        <v>110</v>
      </c>
    </row>
    <row r="5" spans="1:16" ht="23.05" customHeight="1">
      <c r="A5" s="4">
        <v>50</v>
      </c>
      <c r="B5" s="4">
        <v>5</v>
      </c>
      <c r="C5" s="4">
        <v>1960841</v>
      </c>
      <c r="D5" s="4">
        <v>1119097</v>
      </c>
      <c r="E5" s="4">
        <v>155244</v>
      </c>
      <c r="F5" s="4">
        <v>3399</v>
      </c>
      <c r="G5" s="4">
        <v>20115529</v>
      </c>
      <c r="H5" s="4">
        <v>20115529</v>
      </c>
      <c r="I5" s="4">
        <v>0</v>
      </c>
      <c r="J5" s="4">
        <v>2600903</v>
      </c>
      <c r="K5" s="4">
        <v>2600903</v>
      </c>
      <c r="L5" s="4">
        <v>0</v>
      </c>
      <c r="M5" s="6">
        <v>1</v>
      </c>
      <c r="N5" s="4">
        <v>0</v>
      </c>
      <c r="O5" s="4">
        <v>3657936</v>
      </c>
      <c r="P5" s="4">
        <v>0</v>
      </c>
    </row>
    <row r="6" spans="1:16" ht="23.05" customHeight="1">
      <c r="A6" s="4">
        <v>100</v>
      </c>
      <c r="B6" s="4">
        <v>10</v>
      </c>
      <c r="C6" s="4">
        <v>1466665</v>
      </c>
      <c r="D6" s="4">
        <v>761947</v>
      </c>
      <c r="E6" s="4">
        <v>56392</v>
      </c>
      <c r="F6" s="4">
        <v>4878</v>
      </c>
      <c r="G6" s="4">
        <v>20115529</v>
      </c>
      <c r="H6" s="4">
        <v>20115529</v>
      </c>
      <c r="I6" s="4">
        <v>0</v>
      </c>
      <c r="J6" s="4">
        <v>2600903</v>
      </c>
      <c r="K6" s="4">
        <v>2600903</v>
      </c>
      <c r="L6" s="4">
        <v>0</v>
      </c>
      <c r="M6" s="6">
        <v>1</v>
      </c>
      <c r="N6" s="4">
        <v>0</v>
      </c>
      <c r="O6" s="4">
        <v>3657936</v>
      </c>
      <c r="P6" s="4">
        <v>0</v>
      </c>
    </row>
    <row r="7" spans="1:16" ht="23.05" customHeight="1">
      <c r="A7" s="4">
        <v>200</v>
      </c>
      <c r="B7" s="4">
        <v>20</v>
      </c>
      <c r="C7" s="4">
        <v>1114680</v>
      </c>
      <c r="D7" s="4">
        <v>574505</v>
      </c>
      <c r="E7" s="4">
        <v>23312</v>
      </c>
      <c r="F7" s="4">
        <v>6660</v>
      </c>
      <c r="G7" s="4">
        <v>20115529</v>
      </c>
      <c r="H7" s="4">
        <v>20115529</v>
      </c>
      <c r="I7" s="4">
        <v>0</v>
      </c>
      <c r="J7" s="4">
        <v>2600903</v>
      </c>
      <c r="K7" s="4">
        <v>2600903</v>
      </c>
      <c r="L7" s="4">
        <v>0</v>
      </c>
      <c r="M7" s="6">
        <v>1</v>
      </c>
      <c r="N7" s="4">
        <v>0</v>
      </c>
      <c r="O7" s="4">
        <v>3657936</v>
      </c>
      <c r="P7" s="4">
        <v>0</v>
      </c>
    </row>
    <row r="8" spans="1:16" ht="23.05" customHeight="1">
      <c r="A8" s="4">
        <v>500</v>
      </c>
      <c r="B8" s="4">
        <v>50</v>
      </c>
      <c r="C8" s="4">
        <v>800775</v>
      </c>
      <c r="D8" s="4">
        <v>408565</v>
      </c>
      <c r="E8" s="4">
        <v>7877</v>
      </c>
      <c r="F8" s="4">
        <v>9778</v>
      </c>
      <c r="G8" s="4">
        <v>20115079</v>
      </c>
      <c r="H8" s="4">
        <v>20115529</v>
      </c>
      <c r="I8" s="4">
        <v>450</v>
      </c>
      <c r="J8" s="4">
        <v>2600903</v>
      </c>
      <c r="K8" s="4">
        <v>2600903</v>
      </c>
      <c r="L8" s="4">
        <v>0</v>
      </c>
      <c r="M8" s="6">
        <v>0.99997762922367095</v>
      </c>
      <c r="N8" s="4">
        <v>400</v>
      </c>
      <c r="O8" s="4">
        <v>3657673</v>
      </c>
      <c r="P8" s="4">
        <v>263</v>
      </c>
    </row>
    <row r="9" spans="1:16" ht="23.05" customHeight="1">
      <c r="A9" s="4">
        <v>1000</v>
      </c>
      <c r="B9" s="4">
        <v>100</v>
      </c>
      <c r="C9" s="4">
        <v>650256</v>
      </c>
      <c r="D9" s="4">
        <v>332768</v>
      </c>
      <c r="E9" s="4">
        <v>3486</v>
      </c>
      <c r="F9" s="4">
        <v>15728</v>
      </c>
      <c r="G9" s="4">
        <v>20115079</v>
      </c>
      <c r="H9" s="4">
        <v>20115529</v>
      </c>
      <c r="I9" s="4">
        <v>450</v>
      </c>
      <c r="J9" s="4">
        <v>2600903</v>
      </c>
      <c r="K9" s="4">
        <v>2600903</v>
      </c>
      <c r="L9" s="4">
        <v>0</v>
      </c>
      <c r="M9" s="6">
        <v>0.99997762922367095</v>
      </c>
      <c r="N9" s="4">
        <v>400</v>
      </c>
      <c r="O9" s="4">
        <v>3657673</v>
      </c>
      <c r="P9" s="4">
        <v>263</v>
      </c>
    </row>
  </sheetData>
  <phoneticPr fontId="7" type="noConversion"/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37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B5" sqref="B5"/>
    </sheetView>
  </sheetViews>
  <sheetFormatPr defaultRowHeight="14.15"/>
  <cols>
    <col min="1" max="1" width="35" customWidth="1"/>
    <col min="2" max="2" width="120" customWidth="1"/>
  </cols>
  <sheetData>
    <row r="1" spans="1:2" ht="23.05" customHeight="1">
      <c r="A1" s="1"/>
      <c r="B1" s="1"/>
    </row>
    <row r="2" spans="1:2" ht="23.05" customHeight="1">
      <c r="A2" s="2" t="s">
        <v>111</v>
      </c>
      <c r="B2" s="1"/>
    </row>
    <row r="3" spans="1:2" ht="23.05" customHeight="1">
      <c r="A3" s="1"/>
      <c r="B3" s="1"/>
    </row>
    <row r="4" spans="1:2" ht="45" customHeight="1">
      <c r="A4" s="3" t="s">
        <v>112</v>
      </c>
      <c r="B4" s="3" t="s">
        <v>113</v>
      </c>
    </row>
    <row r="5" spans="1:2" ht="44.05" customHeight="1">
      <c r="A5" s="4" t="s">
        <v>114</v>
      </c>
      <c r="B5" s="11" t="s">
        <v>115</v>
      </c>
    </row>
    <row r="6" spans="1:2" ht="44.05" customHeight="1">
      <c r="A6" s="4" t="s">
        <v>116</v>
      </c>
      <c r="B6" s="12">
        <v>46313.336978356485</v>
      </c>
    </row>
    <row r="7" spans="1:2" ht="44.05" customHeight="1">
      <c r="A7" s="4" t="s">
        <v>117</v>
      </c>
      <c r="B7" s="11" t="s">
        <v>118</v>
      </c>
    </row>
    <row r="8" spans="1:2" ht="44.05" customHeight="1">
      <c r="A8" s="4" t="s">
        <v>119</v>
      </c>
      <c r="B8" s="11" t="s">
        <v>120</v>
      </c>
    </row>
    <row r="9" spans="1:2" ht="44.05" customHeight="1">
      <c r="A9" s="4" t="s">
        <v>121</v>
      </c>
      <c r="B9" s="11" t="s">
        <v>122</v>
      </c>
    </row>
    <row r="10" spans="1:2" ht="44.05" customHeight="1">
      <c r="A10" s="4" t="s">
        <v>123</v>
      </c>
      <c r="B10" s="11" t="s">
        <v>124</v>
      </c>
    </row>
    <row r="11" spans="1:2" ht="44.05" customHeight="1">
      <c r="A11" s="4" t="s">
        <v>125</v>
      </c>
      <c r="B11" s="11" t="s">
        <v>126</v>
      </c>
    </row>
    <row r="12" spans="1:2" ht="44.05" customHeight="1">
      <c r="A12" s="4" t="s">
        <v>127</v>
      </c>
      <c r="B12" s="11" t="s">
        <v>128</v>
      </c>
    </row>
    <row r="13" spans="1:2" ht="44.05" customHeight="1">
      <c r="A13" s="4" t="s">
        <v>129</v>
      </c>
      <c r="B13" s="11" t="s">
        <v>130</v>
      </c>
    </row>
    <row r="14" spans="1:2" ht="44.05" customHeight="1">
      <c r="A14" s="4" t="s">
        <v>131</v>
      </c>
      <c r="B14" s="11" t="s">
        <v>132</v>
      </c>
    </row>
    <row r="15" spans="1:2" ht="44.05" customHeight="1">
      <c r="A15" s="4" t="s">
        <v>133</v>
      </c>
      <c r="B15" s="11" t="s">
        <v>134</v>
      </c>
    </row>
    <row r="16" spans="1:2" ht="44.05" customHeight="1">
      <c r="A16" s="4" t="s">
        <v>135</v>
      </c>
      <c r="B16" s="11" t="s">
        <v>136</v>
      </c>
    </row>
    <row r="17" spans="1:2" ht="44.05" customHeight="1">
      <c r="A17" s="4" t="s">
        <v>137</v>
      </c>
      <c r="B17" s="11" t="s">
        <v>138</v>
      </c>
    </row>
    <row r="18" spans="1:2" ht="44.05" customHeight="1">
      <c r="A18" s="4" t="s">
        <v>139</v>
      </c>
      <c r="B18" s="11" t="s">
        <v>140</v>
      </c>
    </row>
    <row r="19" spans="1:2" ht="44.05" customHeight="1">
      <c r="A19" s="4" t="s">
        <v>141</v>
      </c>
      <c r="B19" s="11" t="s">
        <v>142</v>
      </c>
    </row>
    <row r="20" spans="1:2" ht="44.05" customHeight="1">
      <c r="A20" s="4" t="s">
        <v>143</v>
      </c>
      <c r="B20" s="11" t="s">
        <v>144</v>
      </c>
    </row>
    <row r="21" spans="1:2" ht="44.05" customHeight="1">
      <c r="A21" s="4" t="s">
        <v>145</v>
      </c>
      <c r="B21" s="11" t="s">
        <v>146</v>
      </c>
    </row>
    <row r="22" spans="1:2" ht="44.05" customHeight="1">
      <c r="A22" s="4" t="s">
        <v>147</v>
      </c>
      <c r="B22" s="11" t="s">
        <v>148</v>
      </c>
    </row>
    <row r="23" spans="1:2" ht="44.05" customHeight="1">
      <c r="A23" s="4" t="s">
        <v>149</v>
      </c>
      <c r="B23" s="11" t="s">
        <v>150</v>
      </c>
    </row>
    <row r="24" spans="1:2" ht="44.05" customHeight="1">
      <c r="A24" s="4" t="s">
        <v>151</v>
      </c>
      <c r="B24" s="11" t="s">
        <v>152</v>
      </c>
    </row>
    <row r="25" spans="1:2" ht="44.05" customHeight="1">
      <c r="A25" s="4" t="s">
        <v>153</v>
      </c>
      <c r="B25" s="11" t="s">
        <v>154</v>
      </c>
    </row>
    <row r="26" spans="1:2" ht="44.05" customHeight="1">
      <c r="A26" s="4" t="s">
        <v>155</v>
      </c>
      <c r="B26" s="11" t="s">
        <v>156</v>
      </c>
    </row>
    <row r="27" spans="1:2" ht="44.05" customHeight="1">
      <c r="A27" s="4" t="s">
        <v>157</v>
      </c>
      <c r="B27" s="11" t="s">
        <v>158</v>
      </c>
    </row>
    <row r="28" spans="1:2" ht="44.05" customHeight="1">
      <c r="A28" s="4" t="s">
        <v>159</v>
      </c>
      <c r="B28" s="11" t="s">
        <v>160</v>
      </c>
    </row>
    <row r="29" spans="1:2" ht="44.05" customHeight="1">
      <c r="A29" s="4" t="s">
        <v>161</v>
      </c>
      <c r="B29" s="11" t="s">
        <v>162</v>
      </c>
    </row>
    <row r="30" spans="1:2" ht="44.05" customHeight="1">
      <c r="A30" s="4" t="s">
        <v>163</v>
      </c>
      <c r="B30" s="11" t="s">
        <v>164</v>
      </c>
    </row>
    <row r="31" spans="1:2" ht="44.05" customHeight="1">
      <c r="A31" s="4" t="s">
        <v>165</v>
      </c>
      <c r="B31" s="11" t="s">
        <v>166</v>
      </c>
    </row>
    <row r="32" spans="1:2" ht="44.05" customHeight="1">
      <c r="A32" s="4" t="s">
        <v>167</v>
      </c>
      <c r="B32" s="11" t="s">
        <v>168</v>
      </c>
    </row>
    <row r="33" spans="1:2" ht="44.05" customHeight="1">
      <c r="A33" s="4" t="s">
        <v>169</v>
      </c>
      <c r="B33" s="11" t="s">
        <v>170</v>
      </c>
    </row>
    <row r="34" spans="1:2" ht="44.05" customHeight="1">
      <c r="A34" s="4" t="s">
        <v>171</v>
      </c>
      <c r="B34" s="11" t="s">
        <v>172</v>
      </c>
    </row>
    <row r="35" spans="1:2" ht="44.05" customHeight="1">
      <c r="A35" s="4" t="s">
        <v>173</v>
      </c>
      <c r="B35" s="11">
        <v>165.06</v>
      </c>
    </row>
    <row r="36" spans="1:2" ht="44.05" customHeight="1">
      <c r="A36" s="4" t="s">
        <v>174</v>
      </c>
      <c r="B36" s="11" t="s">
        <v>175</v>
      </c>
    </row>
    <row r="37" spans="1:2" ht="44.05" customHeight="1">
      <c r="A37" s="4" t="s">
        <v>176</v>
      </c>
      <c r="B37" s="11" t="s">
        <v>177</v>
      </c>
    </row>
  </sheetData>
  <phoneticPr fontId="7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Overview</vt:lpstr>
      <vt:lpstr>Classes</vt:lpstr>
      <vt:lpstr>Distributions</vt:lpstr>
      <vt:lpstr>Occupancy</vt:lpstr>
      <vt:lpstr>Attack types</vt:lpstr>
      <vt:lpstr>Daily</vt:lpstr>
      <vt:lpstr>Coverage</vt:lpstr>
      <vt:lpstr>Method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Huang Zhiyuan</cp:lastModifiedBy>
  <dcterms:modified xsi:type="dcterms:W3CDTF">2026-10-18T08:21:40Z</dcterms:modified>
</cp:coreProperties>
</file>