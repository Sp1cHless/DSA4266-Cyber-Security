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56a8d7668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d0c9454f8c1c42cf"/>
    <x:sheet xmlns:r="http://schemas.openxmlformats.org/officeDocument/2006/relationships" name="Composition" sheetId="2" r:id="Rbc24f1e800a44131"/>
    <x:sheet xmlns:r="http://schemas.openxmlformats.org/officeDocument/2006/relationships" name="Attack coverage" sheetId="3" r:id="R27ab2ed8a8404acd"/>
    <x:sheet xmlns:r="http://schemas.openxmlformats.org/officeDocument/2006/relationships" name="Activity" sheetId="4" r:id="Rd13ba60a6c5f470f"/>
    <x:sheet xmlns:r="http://schemas.openxmlformats.org/officeDocument/2006/relationships" name="Episodes" sheetId="5" r:id="Rd52e86040bf74231"/>
    <x:sheet xmlns:r="http://schemas.openxmlformats.org/officeDocument/2006/relationships" name="Daily" sheetId="6" r:id="Ra458d16944794ce0"/>
    <x:sheet xmlns:r="http://schemas.openxmlformats.org/officeDocument/2006/relationships" name="Isolation" sheetId="7" r:id="Racc00dc68abc4eae"/>
    <x:sheet xmlns:r="http://schemas.openxmlformats.org/officeDocument/2006/relationships" name="Method" sheetId="8" r:id="R7a49472f21db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 hh:mm:ss"/>
    <x:numFmt numFmtId="203" formatCode="#,##0.0"/>
  </x:numFmts>
  <x:fonts count="6">
    <x:font>
      <x:sz val="11"/>
      <x:name val="Carlito"/>
    </x:font>
    <x:font>
      <x:sz val="10"/>
      <x:color rgb="FF233344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b/>
      <x:sz val="11"/>
      <x:color rgb="FF17324D"/>
      <x:name val="Arial"/>
    </x:font>
    <x:font>
      <x:b/>
      <x:sz val="10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865400"/>
      </x:font>
      <x:fill>
        <x:patternFill patternType="solid">
          <x:bgColor rgb="FFFFF0CC"/>
        </x:patternFill>
      </x:fill>
    </x:dxf>
    <x:dxf>
      <x:font>
        <x:b/>
        <x:color rgb="FF865400"/>
      </x:font>
      <x:fill>
        <x:patternFill patternType="solid">
          <x:bgColor rgb="FFFFF0CC"/>
        </x:patternFill>
      </x:fill>
    </x:dxf>
    <x:dxf>
      <x:font>
        <x:b/>
        <x:color rgb="FF865400"/>
      </x:font>
      <x:fill>
        <x:patternFill patternType="solid">
          <x:bgColor rgb="FFFFF0CC"/>
        </x:patternFill>
      </x:fill>
    </x:dxf>
    <x:dxf>
      <x:font>
        <x:color rgb="FF865400"/>
      </x:font>
      <x:fill>
        <x:patternFill patternType="solid">
          <x:bgColor rgb="FFFFF0CC"/>
        </x:patternFill>
      </x:fill>
    </x:dxf>
    <x:dxf>
      <x:font>
        <x:color rgb="FF865400"/>
      </x:font>
      <x:fill>
        <x:patternFill patternType="solid">
          <x:bgColor rgb="FFFFF0CC"/>
        </x:patternFill>
      </x:fill>
    </x:dxf>
    <x:dxf>
      <x:font>
        <x:color rgb="FF865400"/>
      </x:font>
      <x:fill>
        <x:patternFill patternType="solid">
          <x:bgColor rgb="FFFFF0CC"/>
        </x:patternFill>
      </x:fill>
    </x:dxf>
    <x:dxf>
      <x:font>
        <x:color rgb="FF865400"/>
      </x:font>
      <x:fill>
        <x:patternFill patternType="solid">
          <x:bgColor rgb="FFFFF0CC"/>
        </x:patternFill>
      </x:fill>
    </x:dxf>
    <x:dxf>
      <x:font>
        <x:color rgb="FF865400"/>
      </x:font>
      <x:fill>
        <x:patternFill patternType="solid">
          <x:bgColor rgb="FFFFF0CC"/>
        </x:patternFill>
      </x:fill>
    </x:dxf>
    <x:dxf>
      <x:font>
        <x:color rgb="FF865400"/>
      </x:font>
      <x:fill>
        <x:patternFill patternType="solid">
          <x:bgColor rgb="FFFFF0CC"/>
        </x:patternFill>
      </x:fill>
    </x:dxf>
    <x:dxf>
      <x:font>
        <x:color rgb="FF8654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a6ba908c94bab" /><Relationship Type="http://schemas.openxmlformats.org/officeDocument/2006/relationships/theme" Target="/xl/theme/theme1.xml" Id="Rceef4a5b63334178" /><Relationship Type="http://schemas.openxmlformats.org/officeDocument/2006/relationships/sharedStrings" Target="/xl/sharedStrings.xml" Id="R1d09792c861d4ed2" /><Relationship Type="http://schemas.openxmlformats.org/officeDocument/2006/relationships/worksheet" Target="/xl/worksheets/sheet1.xml" Id="Rd0c9454f8c1c42cf" /><Relationship Type="http://schemas.openxmlformats.org/officeDocument/2006/relationships/worksheet" Target="/xl/worksheets/sheet2.xml" Id="Rbc24f1e800a44131" /><Relationship Type="http://schemas.openxmlformats.org/officeDocument/2006/relationships/worksheet" Target="/xl/worksheets/sheet3.xml" Id="R27ab2ed8a8404acd" /><Relationship Type="http://schemas.openxmlformats.org/officeDocument/2006/relationships/worksheet" Target="/xl/worksheets/sheet4.xml" Id="Rd13ba60a6c5f470f" /><Relationship Type="http://schemas.openxmlformats.org/officeDocument/2006/relationships/worksheet" Target="/xl/worksheets/sheet5.xml" Id="Rd52e86040bf74231" /><Relationship Type="http://schemas.openxmlformats.org/officeDocument/2006/relationships/worksheet" Target="/xl/worksheets/sheet6.xml" Id="Ra458d16944794ce0" /><Relationship Type="http://schemas.openxmlformats.org/officeDocument/2006/relationships/worksheet" Target="/xl/worksheets/sheet7.xml" Id="Racc00dc68abc4eae" /><Relationship Type="http://schemas.openxmlformats.org/officeDocument/2006/relationships/worksheet" Target="/xl/worksheets/sheet8.xml" Id="R7a49472f21db431c" /></Relationships>
</file>

<file path=xl/tables/table1.xml><?xml version="1.0" encoding="utf-8"?>
<x:table xmlns:x="http://schemas.openxmlformats.org/spreadsheetml/2006/main" id="7" name="SplitTable0" displayName="SplitTable0" ref="A4:L12" headerRowCount="1" totalsRowCount="0" totalsRowShown="0">
  <x:autoFilter ref="A4:L12"/>
  <x:tableColumns count="12">
    <x:tableColumn id="1" name="Candidate"/>
    <x:tableColumn id="2" name="Train share"/>
    <x:tableColumn id="3" name="Validation share"/>
    <x:tableColumn id="4" name="Test share"/>
    <x:tableColumn id="5" name="Excluded share"/>
    <x:tableColumn id="6" name="Train types"/>
    <x:tableColumn id="7" name="Validation types"/>
    <x:tableColumn id="8" name="Test types"/>
    <x:tableColumn id="9" name="Validation types unseen"/>
    <x:tableColumn id="10" name="Test types unseen"/>
    <x:tableColumn id="11" name="Types in all three"/>
    <x:tableColumn id="12" name="Cross episodes: 300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plitTable1" displayName="SplitTable1" ref="A4:J36" headerRowCount="1" totalsRowCount="0" totalsRowShown="0">
  <x:autoFilter ref="A4:J36"/>
  <x:tableColumns count="10">
    <x:tableColumn id="1" name="Candidate"/>
    <x:tableColumn id="2" name="Split"/>
    <x:tableColumn id="3" name="Sequences"/>
    <x:tableColumn id="4" name="Positive sequences"/>
    <x:tableColumn id="5" name="Positive share"/>
    <x:tableColumn id="6" name="Flows"/>
    <x:tableColumn id="7" name="Attack flows"/>
    <x:tableColumn id="8" name="Sources"/>
    <x:tableColumn id="9" name="UTC dates"/>
    <x:tableColumn id="10" name="Original 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plitTable2" displayName="SplitTable2" ref="A4:S116" headerRowCount="1" totalsRowCount="0" totalsRowShown="0">
  <x:autoFilter ref="A4:S116"/>
  <x:tableColumns count="19">
    <x:tableColumn id="1" name="Candidate"/>
    <x:tableColumn id="2" name="Attack type"/>
    <x:tableColumn id="3" name="Train windows"/>
    <x:tableColumn id="4" name="Validation windows"/>
    <x:tableColumn id="5" name="Test windows"/>
    <x:tableColumn id="6" name="Excluded windows"/>
    <x:tableColumn id="7" name="Test unseen in train"/>
    <x:tableColumn id="8" name="Test only"/>
    <x:tableColumn id="9" name="Validation unseen"/>
    <x:tableColumn id="10" name="All three sets"/>
    <x:tableColumn id="11" name="Train flows"/>
    <x:tableColumn id="12" name="Validation flows"/>
    <x:tableColumn id="13" name="Test flows"/>
    <x:tableColumn id="14" name="Train sources"/>
    <x:tableColumn id="15" name="Validation sources"/>
    <x:tableColumn id="16" name="Test sources"/>
    <x:tableColumn id="17" name="Train episodes"/>
    <x:tableColumn id="18" name="Validation episodes"/>
    <x:tableColumn id="19" name="Test episod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plitTable3" displayName="SplitTable3" ref="A4:J46" headerRowCount="1" totalsRowCount="0" totalsRowShown="0">
  <x:autoFilter ref="A4:J46"/>
  <x:tableColumns count="10">
    <x:tableColumn id="1" name="Attack type"/>
    <x:tableColumn id="2" name="Gap threshold (s)"/>
    <x:tableColumn id="3" name="Candidate episodes"/>
    <x:tableColumn id="4" name="UTC dates"/>
    <x:tableColumn id="5" name="Sources"/>
    <x:tableColumn id="6" name="100s windows"/>
    <x:tableColumn id="7" name="Attack flows"/>
    <x:tableColumn id="8" name="First start (UTC)"/>
    <x:tableColumn id="9" name="Last start (UTC)"/>
    <x:tableColumn id="10" name="Largest episode flow sha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plitTable4" displayName="SplitTable4" ref="A4:I26" headerRowCount="1" totalsRowCount="0" totalsRowShown="0">
  <x:autoFilter ref="A4:I26"/>
  <x:tableColumns count="9">
    <x:tableColumn id="1" name="Episode ID"/>
    <x:tableColumn id="2" name="Attack type"/>
    <x:tableColumn id="3" name="First start (UTC)"/>
    <x:tableColumn id="4" name="Last start (UTC)"/>
    <x:tableColumn id="5" name="Start span (s)"/>
    <x:tableColumn id="6" name="Attack flows"/>
    <x:tableColumn id="7" name="100s windows"/>
    <x:tableColumn id="8" name="Sources"/>
    <x:tableColumn id="9" name="Active 10s bi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plitTable5" displayName="SplitTable5" ref="A4:G256" headerRowCount="1" totalsRowCount="0" totalsRowShown="0">
  <x:autoFilter ref="A4:G256"/>
  <x:tableColumns count="7">
    <x:tableColumn id="1" name="Candidate"/>
    <x:tableColumn id="2" name="Split"/>
    <x:tableColumn id="3" name="UTC date"/>
    <x:tableColumn id="4" name="Sequences"/>
    <x:tableColumn id="5" name="Positive sequences"/>
    <x:tableColumn id="6" name="Flows"/>
    <x:tableColumn id="7" name="Attack flow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plitTable6" displayName="SplitTable6" ref="A4:N12" headerRowCount="1" totalsRowCount="0" totalsRowShown="0">
  <x:autoFilter ref="A4:N12"/>
  <x:tableColumns count="14">
    <x:tableColumn id="1" name="Candidate"/>
    <x:tableColumn id="2" name="Shared global 100s"/>
    <x:tableColumn id="3" name="Adjacent source pairs crossing sets"/>
    <x:tableColumn id="4" name="Interval overlap windows"/>
    <x:tableColumn id="5" name="Shared train/test sources"/>
    <x:tableColumn id="6" name="Cross episodes: 60s"/>
    <x:tableColumn id="7" name="Cross episodes: 300s"/>
    <x:tableColumn id="8" name="Cross episodes: 900s"/>
    <x:tableColumn id="9" name="Train/test episodes: 300s"/>
    <x:tableColumn id="10" name="Retained sequences"/>
    <x:tableColumn id="11" name="Excluded sequences"/>
    <x:tableColumn id="12" name="Embargo exclusions"/>
    <x:tableColumn id="13" name="Interval exclusions"/>
    <x:tableColumn id="14" name="Fold transitio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plitTable7" displayName="SplitTable7" ref="A4:B36" headerRowCount="1" totalsRowCount="0" totalsRowShown="0">
  <x:autoFilter ref="A4:B36"/>
  <x:tableColumns count="2">
    <x:tableColumn id="1" name="Item"/>
    <x:tableColumn id="2" name="Definition or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87046f73024e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dcce73964941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21a59e041c47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02550228984c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f3bc59c17342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5cdc4227b344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d01578f14da47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170a20b17894b6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3" hidden="0" customWidth="1"/>
    <x:col min="10" max="10" width="23" hidden="0" customWidth="1"/>
    <x:col min="11" max="11" width="18" hidden="0" customWidth="1"/>
    <x:col min="12" max="12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CIC split candidates: coverage and separation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56" customHeight="1">
      <x:c r="A4" s="12" t="str">
        <x:v>Candidate</x:v>
      </x:c>
      <x:c r="B4" s="13" t="str">
        <x:v>Train share</x:v>
      </x:c>
      <x:c r="C4" s="13" t="str">
        <x:v>Validation share</x:v>
      </x:c>
      <x:c r="D4" s="13" t="str">
        <x:v>Test share</x:v>
      </x:c>
      <x:c r="E4" s="13" t="str">
        <x:v>Excluded share</x:v>
      </x:c>
      <x:c r="F4" s="13" t="str">
        <x:v>Train types</x:v>
      </x:c>
      <x:c r="G4" s="13" t="str">
        <x:v>Validation types</x:v>
      </x:c>
      <x:c r="H4" s="13" t="str">
        <x:v>Test types</x:v>
      </x:c>
      <x:c r="I4" s="13" t="str">
        <x:v>Validation types unseen</x:v>
      </x:c>
      <x:c r="J4" s="13" t="str">
        <x:v>Test types unseen</x:v>
      </x:c>
      <x:c r="K4" s="13" t="str">
        <x:v>Types in all three</x:v>
      </x:c>
      <x:c r="L4" s="14" t="str">
        <x:v>Cross episodes: 300s</x:v>
      </x:c>
    </x:row>
    <x:row r="5" ht="24" customHeight="1">
      <x:c r="A5" s="15" t="str">
        <x:v>random_100s</x:v>
      </x:c>
      <x:c r="B5" s="16" t="n">
        <x:f>SUMIFS('Composition'!$C$5:$C$36,'Composition'!$A$5:$A$36,$A5,'Composition'!$B$5:$B$36,"train")/1466665</x:f>
        <x:v>0.5999993181810434</x:v>
      </x:c>
      <x:c r="C5" s="16" t="n">
        <x:f>SUMIFS('Composition'!$C$5:$C$36,'Composition'!$A$5:$A$36,$A5,'Composition'!$B$5:$B$36,"validation")/1466665</x:f>
        <x:v>0.20000204545686984</x:v>
      </x:c>
      <x:c r="D5" s="16" t="n">
        <x:f>SUMIFS('Composition'!$C$5:$C$36,'Composition'!$A$5:$A$36,$A5,'Composition'!$B$5:$B$36,"test")/1466665</x:f>
        <x:v>0.19999863636208678</x:v>
      </x:c>
      <x:c r="E5" s="16" t="n">
        <x:f>SUMIFS('Composition'!$C$5:$C$36,'Composition'!$A$5:$A$36,$A5,'Composition'!$B$5:$B$36,"excluded")/1466665</x:f>
        <x:v>0</x:v>
      </x:c>
      <x:c r="F5" s="15" t="n">
        <x:f>COUNTIFS('Attack coverage'!$A$5:$A$116,$A5,'Attack coverage'!$C$5:$C$116,"&gt;0")</x:f>
        <x:v>14</x:v>
      </x:c>
      <x:c r="G5" s="15" t="n">
        <x:f>COUNTIFS('Attack coverage'!$A$5:$A$116,$A5,'Attack coverage'!$D$5:$D$116,"&gt;0")</x:f>
        <x:v>14</x:v>
      </x:c>
      <x:c r="H5" s="15" t="n">
        <x:f>COUNTIFS('Attack coverage'!$A$5:$A$116,$A5,'Attack coverage'!$E$5:$E$116,"&gt;0")</x:f>
        <x:v>14</x:v>
      </x:c>
      <x:c r="I5" s="15" t="n">
        <x:f>COUNTIFS('Attack coverage'!$A$5:$A$116,$A5,'Attack coverage'!$I$5:$I$116,1)</x:f>
        <x:v>0</x:v>
      </x:c>
      <x:c r="J5" s="15" t="n">
        <x:f>COUNTIFS('Attack coverage'!$A$5:$A$116,$A5,'Attack coverage'!$G$5:$G$116,1)</x:f>
        <x:v>0</x:v>
      </x:c>
      <x:c r="K5" s="15" t="n">
        <x:f>COUNTIFS('Attack coverage'!$A$5:$A$116,$A5,'Attack coverage'!$J$5:$J$116,1)</x:f>
        <x:v>14</x:v>
      </x:c>
      <x:c r="L5" s="15" t="n">
        <x:f>'Isolation'!G5</x:f>
        <x:v>18</x:v>
      </x:c>
    </x:row>
    <x:row r="6" ht="24" customHeight="1">
      <x:c r="A6" s="15" t="str">
        <x:v>chronological</x:v>
      </x:c>
      <x:c r="B6" s="16" t="n">
        <x:f>SUMIFS('Composition'!$C$5:$C$36,'Composition'!$A$5:$A$36,$A6,'Composition'!$B$5:$B$36,"train")/1466665</x:f>
        <x:v>0.5997299996931814</x:v>
      </x:c>
      <x:c r="C6" s="16" t="n">
        <x:f>SUMIFS('Composition'!$C$5:$C$36,'Composition'!$A$5:$A$36,$A6,'Composition'!$B$5:$B$36,"validation")/1466665</x:f>
        <x:v>0.19910545352892448</x:v>
      </x:c>
      <x:c r="D6" s="16" t="n">
        <x:f>SUMIFS('Composition'!$C$5:$C$36,'Composition'!$A$5:$A$36,$A6,'Composition'!$B$5:$B$36,"test")/1466665</x:f>
        <x:v>0.19965909052169378</x:v>
      </x:c>
      <x:c r="E6" s="16" t="n">
        <x:f>SUMIFS('Composition'!$C$5:$C$36,'Composition'!$A$5:$A$36,$A6,'Composition'!$B$5:$B$36,"excluded")/1466665</x:f>
        <x:v>0.001505456256200291</x:v>
      </x:c>
      <x:c r="F6" s="15" t="n">
        <x:f>COUNTIFS('Attack coverage'!$A$5:$A$116,$A6,'Attack coverage'!$C$5:$C$116,"&gt;0")</x:f>
        <x:v>12</x:v>
      </x:c>
      <x:c r="G6" s="15" t="n">
        <x:f>COUNTIFS('Attack coverage'!$A$5:$A$116,$A6,'Attack coverage'!$D$5:$D$116,"&gt;0")</x:f>
        <x:v>1</x:v>
      </x:c>
      <x:c r="H6" s="15" t="n">
        <x:f>COUNTIFS('Attack coverage'!$A$5:$A$116,$A6,'Attack coverage'!$E$5:$E$116,"&gt;0")</x:f>
        <x:v>2</x:v>
      </x:c>
      <x:c r="I6" s="15" t="n">
        <x:f>COUNTIFS('Attack coverage'!$A$5:$A$116,$A6,'Attack coverage'!$I$5:$I$116,1)</x:f>
        <x:v>1</x:v>
      </x:c>
      <x:c r="J6" s="15" t="n">
        <x:f>COUNTIFS('Attack coverage'!$A$5:$A$116,$A6,'Attack coverage'!$G$5:$G$116,1)</x:f>
        <x:v>2</x:v>
      </x:c>
      <x:c r="K6" s="15" t="n">
        <x:f>COUNTIFS('Attack coverage'!$A$5:$A$116,$A6,'Attack coverage'!$J$5:$J$116,1)</x:f>
        <x:v>0</x:v>
      </x:c>
      <x:c r="L6" s="15" t="n">
        <x:f>'Isolation'!G6</x:f>
        <x:v>1</x:v>
      </x:c>
    </x:row>
    <x:row r="7" ht="24" customHeight="1">
      <x:c r="A7" s="15" t="str">
        <x:v>day_chronological</x:v>
      </x:c>
      <x:c r="B7" s="16" t="n">
        <x:f>SUMIFS('Composition'!$C$5:$C$36,'Composition'!$A$5:$A$36,$A7,'Composition'!$B$5:$B$36,"train")/1466665</x:f>
        <x:v>0.5788588396123178</x:v>
      </x:c>
      <x:c r="C7" s="16" t="n">
        <x:f>SUMIFS('Composition'!$C$5:$C$36,'Composition'!$A$5:$A$36,$A7,'Composition'!$B$5:$B$36,"validation")/1466665</x:f>
        <x:v>0.21481660774614517</x:v>
      </x:c>
      <x:c r="D7" s="16" t="n">
        <x:f>SUMIFS('Composition'!$C$5:$C$36,'Composition'!$A$5:$A$36,$A7,'Composition'!$B$5:$B$36,"test")/1466665</x:f>
        <x:v>0.20606818871385083</x:v>
      </x:c>
      <x:c r="E7" s="16" t="n">
        <x:f>SUMIFS('Composition'!$C$5:$C$36,'Composition'!$A$5:$A$36,$A7,'Composition'!$B$5:$B$36,"excluded")/1466665</x:f>
        <x:v>0.0002563639276862815</x:v>
      </x:c>
      <x:c r="F7" s="15" t="n">
        <x:f>COUNTIFS('Attack coverage'!$A$5:$A$116,$A7,'Attack coverage'!$C$5:$C$116,"&gt;0")</x:f>
        <x:v>12</x:v>
      </x:c>
      <x:c r="G7" s="15" t="n">
        <x:f>COUNTIFS('Attack coverage'!$A$5:$A$116,$A7,'Attack coverage'!$D$5:$D$116,"&gt;0")</x:f>
        <x:v>1</x:v>
      </x:c>
      <x:c r="H7" s="15" t="n">
        <x:f>COUNTIFS('Attack coverage'!$A$5:$A$116,$A7,'Attack coverage'!$E$5:$E$116,"&gt;0")</x:f>
        <x:v>2</x:v>
      </x:c>
      <x:c r="I7" s="15" t="n">
        <x:f>COUNTIFS('Attack coverage'!$A$5:$A$116,$A7,'Attack coverage'!$I$5:$I$116,1)</x:f>
        <x:v>1</x:v>
      </x:c>
      <x:c r="J7" s="15" t="n">
        <x:f>COUNTIFS('Attack coverage'!$A$5:$A$116,$A7,'Attack coverage'!$G$5:$G$116,1)</x:f>
        <x:v>2</x:v>
      </x:c>
      <x:c r="K7" s="15" t="n">
        <x:f>COUNTIFS('Attack coverage'!$A$5:$A$116,$A7,'Attack coverage'!$J$5:$J$116,1)</x:f>
        <x:v>0</x:v>
      </x:c>
      <x:c r="L7" s="15" t="n">
        <x:f>'Isolation'!G7</x:f>
        <x:v>0</x:v>
      </x:c>
    </x:row>
    <x:row r="8" ht="24" customHeight="1">
      <x:c r="A8" s="15" t="str">
        <x:v>day_shuffled</x:v>
      </x:c>
      <x:c r="B8" s="16" t="n">
        <x:f>SUMIFS('Composition'!$C$5:$C$36,'Composition'!$A$5:$A$36,$A8,'Composition'!$B$5:$B$36,"train")/1466665</x:f>
        <x:v>0.612051150058125</x:v>
      </x:c>
      <x:c r="C8" s="16" t="n">
        <x:f>SUMIFS('Composition'!$C$5:$C$36,'Composition'!$A$5:$A$36,$A8,'Composition'!$B$5:$B$36,"validation")/1466665</x:f>
        <x:v>0.20606818871385083</x:v>
      </x:c>
      <x:c r="D8" s="16" t="n">
        <x:f>SUMIFS('Composition'!$C$5:$C$36,'Composition'!$A$5:$A$36,$A8,'Composition'!$B$5:$B$36,"test")/1466665</x:f>
        <x:v>0.18175452472105083</x:v>
      </x:c>
      <x:c r="E8" s="16" t="n">
        <x:f>SUMIFS('Composition'!$C$5:$C$36,'Composition'!$A$5:$A$36,$A8,'Composition'!$B$5:$B$36,"excluded")/1466665</x:f>
        <x:v>0.00012613650697330337</x:v>
      </x:c>
      <x:c r="F8" s="15" t="n">
        <x:f>COUNTIFS('Attack coverage'!$A$5:$A$116,$A8,'Attack coverage'!$C$5:$C$116,"&gt;0")</x:f>
        <x:v>9</x:v>
      </x:c>
      <x:c r="G8" s="15" t="n">
        <x:f>COUNTIFS('Attack coverage'!$A$5:$A$116,$A8,'Attack coverage'!$D$5:$D$116,"&gt;0")</x:f>
        <x:v>2</x:v>
      </x:c>
      <x:c r="H8" s="15" t="n">
        <x:f>COUNTIFS('Attack coverage'!$A$5:$A$116,$A8,'Attack coverage'!$E$5:$E$116,"&gt;0")</x:f>
        <x:v>4</x:v>
      </x:c>
      <x:c r="I8" s="15" t="n">
        <x:f>COUNTIFS('Attack coverage'!$A$5:$A$116,$A8,'Attack coverage'!$I$5:$I$116,1)</x:f>
        <x:v>1</x:v>
      </x:c>
      <x:c r="J8" s="15" t="n">
        <x:f>COUNTIFS('Attack coverage'!$A$5:$A$116,$A8,'Attack coverage'!$G$5:$G$116,1)</x:f>
        <x:v>4</x:v>
      </x:c>
      <x:c r="K8" s="15" t="n">
        <x:f>COUNTIFS('Attack coverage'!$A$5:$A$116,$A8,'Attack coverage'!$J$5:$J$116,1)</x:f>
        <x:v>0</x:v>
      </x:c>
      <x:c r="L8" s="15" t="n">
        <x:f>'Isolation'!G8</x:f>
        <x:v>0</x:v>
      </x:c>
    </x:row>
    <x:row r="9" ht="24" customHeight="1">
      <x:c r="A9" s="15" t="str">
        <x:v>blocks_15m</x:v>
      </x:c>
      <x:c r="B9" s="16" t="n">
        <x:f>SUMIFS('Composition'!$C$5:$C$36,'Composition'!$A$5:$A$36,$A9,'Composition'!$B$5:$B$36,"train")/1466665</x:f>
        <x:v>0.5365608370009511</x:v>
      </x:c>
      <x:c r="C9" s="16" t="n">
        <x:f>SUMIFS('Composition'!$C$5:$C$36,'Composition'!$A$5:$A$36,$A9,'Composition'!$B$5:$B$36,"validation")/1466665</x:f>
        <x:v>0.1576910882853276</x:v>
      </x:c>
      <x:c r="D9" s="16" t="n">
        <x:f>SUMIFS('Composition'!$C$5:$C$36,'Composition'!$A$5:$A$36,$A9,'Composition'!$B$5:$B$36,"test")/1466665</x:f>
        <x:v>0.15584267709395125</x:v>
      </x:c>
      <x:c r="E9" s="16" t="n">
        <x:f>SUMIFS('Composition'!$C$5:$C$36,'Composition'!$A$5:$A$36,$A9,'Composition'!$B$5:$B$36,"excluded")/1466665</x:f>
        <x:v>0.14990539761977</x:v>
      </x:c>
      <x:c r="F9" s="15" t="n">
        <x:f>COUNTIFS('Attack coverage'!$A$5:$A$116,$A9,'Attack coverage'!$C$5:$C$116,"&gt;0")</x:f>
        <x:v>13</x:v>
      </x:c>
      <x:c r="G9" s="15" t="n">
        <x:f>COUNTIFS('Attack coverage'!$A$5:$A$116,$A9,'Attack coverage'!$D$5:$D$116,"&gt;0")</x:f>
        <x:v>11</x:v>
      </x:c>
      <x:c r="H9" s="15" t="n">
        <x:f>COUNTIFS('Attack coverage'!$A$5:$A$116,$A9,'Attack coverage'!$E$5:$E$116,"&gt;0")</x:f>
        <x:v>8</x:v>
      </x:c>
      <x:c r="I9" s="15" t="n">
        <x:f>COUNTIFS('Attack coverage'!$A$5:$A$116,$A9,'Attack coverage'!$I$5:$I$116,1)</x:f>
        <x:v>1</x:v>
      </x:c>
      <x:c r="J9" s="15" t="n">
        <x:f>COUNTIFS('Attack coverage'!$A$5:$A$116,$A9,'Attack coverage'!$G$5:$G$116,1)</x:f>
        <x:v>0</x:v>
      </x:c>
      <x:c r="K9" s="15" t="n">
        <x:f>COUNTIFS('Attack coverage'!$A$5:$A$116,$A9,'Attack coverage'!$J$5:$J$116,1)</x:f>
        <x:v>8</x:v>
      </x:c>
      <x:c r="L9" s="15" t="n">
        <x:f>'Isolation'!G9</x:f>
        <x:v>11</x:v>
      </x:c>
    </x:row>
    <x:row r="10" ht="24" customHeight="1">
      <x:c r="A10" s="15" t="str">
        <x:v>blocks_30m</x:v>
      </x:c>
      <x:c r="B10" s="16" t="n">
        <x:f>SUMIFS('Composition'!$C$5:$C$36,'Composition'!$A$5:$A$36,$A10,'Composition'!$B$5:$B$36,"train")/1466665</x:f>
        <x:v>0.5646408689100783</x:v>
      </x:c>
      <x:c r="C10" s="16" t="n">
        <x:f>SUMIFS('Composition'!$C$5:$C$36,'Composition'!$A$5:$A$36,$A10,'Composition'!$B$5:$B$36,"validation")/1466665</x:f>
        <x:v>0.17630065488710783</x:v>
      </x:c>
      <x:c r="D10" s="16" t="n">
        <x:f>SUMIFS('Composition'!$C$5:$C$36,'Composition'!$A$5:$A$36,$A10,'Composition'!$B$5:$B$36,"test")/1466665</x:f>
        <x:v>0.17794588402941366</x:v>
      </x:c>
      <x:c r="E10" s="16" t="n">
        <x:f>SUMIFS('Composition'!$C$5:$C$36,'Composition'!$A$5:$A$36,$A10,'Composition'!$B$5:$B$36,"excluded")/1466665</x:f>
        <x:v>0.0811125921734002</x:v>
      </x:c>
      <x:c r="F10" s="15" t="n">
        <x:f>COUNTIFS('Attack coverage'!$A$5:$A$116,$A10,'Attack coverage'!$C$5:$C$116,"&gt;0")</x:f>
        <x:v>12</x:v>
      </x:c>
      <x:c r="G10" s="15" t="n">
        <x:f>COUNTIFS('Attack coverage'!$A$5:$A$116,$A10,'Attack coverage'!$D$5:$D$116,"&gt;0")</x:f>
        <x:v>10</x:v>
      </x:c>
      <x:c r="H10" s="15" t="n">
        <x:f>COUNTIFS('Attack coverage'!$A$5:$A$116,$A10,'Attack coverage'!$E$5:$E$116,"&gt;0")</x:f>
        <x:v>10</x:v>
      </x:c>
      <x:c r="I10" s="15" t="n">
        <x:f>COUNTIFS('Attack coverage'!$A$5:$A$116,$A10,'Attack coverage'!$I$5:$I$116,1)</x:f>
        <x:v>1</x:v>
      </x:c>
      <x:c r="J10" s="15" t="n">
        <x:f>COUNTIFS('Attack coverage'!$A$5:$A$116,$A10,'Attack coverage'!$G$5:$G$116,1)</x:f>
        <x:v>1</x:v>
      </x:c>
      <x:c r="K10" s="15" t="n">
        <x:f>COUNTIFS('Attack coverage'!$A$5:$A$116,$A10,'Attack coverage'!$J$5:$J$116,1)</x:f>
        <x:v>7</x:v>
      </x:c>
      <x:c r="L10" s="15" t="n">
        <x:f>'Isolation'!G10</x:f>
        <x:v>12</x:v>
      </x:c>
    </x:row>
    <x:row r="11" ht="24" customHeight="1">
      <x:c r="A11" s="15" t="str">
        <x:v>blocks_60m</x:v>
      </x:c>
      <x:c r="B11" s="16" t="n">
        <x:f>SUMIFS('Composition'!$C$5:$C$36,'Composition'!$A$5:$A$36,$A11,'Composition'!$B$5:$B$36,"train")/1466665</x:f>
        <x:v>0.5881233955947677</x:v>
      </x:c>
      <x:c r="C11" s="16" t="n">
        <x:f>SUMIFS('Composition'!$C$5:$C$36,'Composition'!$A$5:$A$36,$A11,'Composition'!$B$5:$B$36,"validation")/1466665</x:f>
        <x:v>0.1865224846846417</x:v>
      </x:c>
      <x:c r="D11" s="16" t="n">
        <x:f>SUMIFS('Composition'!$C$5:$C$36,'Composition'!$A$5:$A$36,$A11,'Composition'!$B$5:$B$36,"test")/1466665</x:f>
        <x:v>0.18727998554543812</x:v>
      </x:c>
      <x:c r="E11" s="16" t="n">
        <x:f>SUMIFS('Composition'!$C$5:$C$36,'Composition'!$A$5:$A$36,$A11,'Composition'!$B$5:$B$36,"excluded")/1466665</x:f>
        <x:v>0.03807413417515247</x:v>
      </x:c>
      <x:c r="F11" s="15" t="n">
        <x:f>COUNTIFS('Attack coverage'!$A$5:$A$116,$A11,'Attack coverage'!$C$5:$C$116,"&gt;0")</x:f>
        <x:v>12</x:v>
      </x:c>
      <x:c r="G11" s="15" t="n">
        <x:f>COUNTIFS('Attack coverage'!$A$5:$A$116,$A11,'Attack coverage'!$D$5:$D$116,"&gt;0")</x:f>
        <x:v>9</x:v>
      </x:c>
      <x:c r="H11" s="15" t="n">
        <x:f>COUNTIFS('Attack coverage'!$A$5:$A$116,$A11,'Attack coverage'!$E$5:$E$116,"&gt;0")</x:f>
        <x:v>6</x:v>
      </x:c>
      <x:c r="I11" s="15" t="n">
        <x:f>COUNTIFS('Attack coverage'!$A$5:$A$116,$A11,'Attack coverage'!$I$5:$I$116,1)</x:f>
        <x:v>0</x:v>
      </x:c>
      <x:c r="J11" s="15" t="n">
        <x:f>COUNTIFS('Attack coverage'!$A$5:$A$116,$A11,'Attack coverage'!$G$5:$G$116,1)</x:f>
        <x:v>2</x:v>
      </x:c>
      <x:c r="K11" s="15" t="n">
        <x:f>COUNTIFS('Attack coverage'!$A$5:$A$116,$A11,'Attack coverage'!$J$5:$J$116,1)</x:f>
        <x:v>3</x:v>
      </x:c>
      <x:c r="L11" s="15" t="n">
        <x:f>'Isolation'!G11</x:f>
        <x:v>10</x:v>
      </x:c>
    </x:row>
    <x:row r="12" ht="24" customHeight="1">
      <x:c r="A12" s="15" t="str">
        <x:v>guarded_30m</x:v>
      </x:c>
      <x:c r="B12" s="16" t="n">
        <x:f>SUMIFS('Composition'!$C$5:$C$36,'Composition'!$A$5:$A$36,$A12,'Composition'!$B$5:$B$36,"train")/1466665</x:f>
        <x:v>0.5949893124878551</x:v>
      </x:c>
      <x:c r="C12" s="16" t="n">
        <x:f>SUMIFS('Composition'!$C$5:$C$36,'Composition'!$A$5:$A$36,$A12,'Composition'!$B$5:$B$36,"validation")/1466665</x:f>
        <x:v>0.20872250991194308</x:v>
      </x:c>
      <x:c r="D12" s="16" t="n">
        <x:f>SUMIFS('Composition'!$C$5:$C$36,'Composition'!$A$5:$A$36,$A12,'Composition'!$B$5:$B$36,"test")/1466665</x:f>
        <x:v>0.16272563946095392</x:v>
      </x:c>
      <x:c r="E12" s="16" t="n">
        <x:f>SUMIFS('Composition'!$C$5:$C$36,'Composition'!$A$5:$A$36,$A12,'Composition'!$B$5:$B$36,"excluded")/1466665</x:f>
        <x:v>0.03356253813924789</x:v>
      </x:c>
      <x:c r="F12" s="15" t="n">
        <x:f>COUNTIFS('Attack coverage'!$A$5:$A$116,$A12,'Attack coverage'!$C$5:$C$116,"&gt;0")</x:f>
        <x:v>12</x:v>
      </x:c>
      <x:c r="G12" s="15" t="n">
        <x:f>COUNTIFS('Attack coverage'!$A$5:$A$116,$A12,'Attack coverage'!$D$5:$D$116,"&gt;0")</x:f>
        <x:v>2</x:v>
      </x:c>
      <x:c r="H12" s="15" t="n">
        <x:f>COUNTIFS('Attack coverage'!$A$5:$A$116,$A12,'Attack coverage'!$E$5:$E$116,"&gt;0")</x:f>
        <x:v>2</x:v>
      </x:c>
      <x:c r="I12" s="15" t="n">
        <x:f>COUNTIFS('Attack coverage'!$A$5:$A$116,$A12,'Attack coverage'!$I$5:$I$116,1)</x:f>
        <x:v>2</x:v>
      </x:c>
      <x:c r="J12" s="15" t="n">
        <x:f>COUNTIFS('Attack coverage'!$A$5:$A$116,$A12,'Attack coverage'!$G$5:$G$116,1)</x:f>
        <x:v>0</x:v>
      </x:c>
      <x:c r="K12" s="15" t="n">
        <x:f>COUNTIFS('Attack coverage'!$A$5:$A$116,$A12,'Attack coverage'!$J$5:$J$116,1)</x:f>
        <x:v>0</x:v>
      </x:c>
      <x:c r="L12" s="15" t="n">
        <x:f>'Isolation'!G12</x:f>
        <x:v>0</x:v>
      </x:c>
    </x:row>
    <x:row r="16">
      <x:c r="A16" s="20" t="str">
        <x:v>Interpretation</x:v>
      </x:c>
    </x:row>
    <x:row r="18">
      <x:c r="A18" s="21" t="str">
        <x:v>random_100s</x:v>
      </x:c>
      <x:c r="B18" s="22" t="str">
        <x:v>Current implementation baseline; neighboring activity can enter multiple sets.</x:v>
      </x:c>
    </x:row>
    <x:row r="19">
      <x:c r="A19" s="21" t="str">
        <x:v>chronological</x:v>
      </x:c>
      <x:c r="B19" s="22" t="str">
        <x:v>Measures later-time generalization; attack types can be absent from train.</x:v>
      </x:c>
    </x:row>
    <x:row r="20">
      <x:c r="A20" s="21" t="str">
        <x:v>day groups</x:v>
      </x:c>
      <x:c r="B20" s="22" t="str">
        <x:v>Keep whole dates together; only a small number of independent date groups exist.</x:v>
      </x:c>
    </x:row>
    <x:row r="21">
      <x:c r="A21" s="21" t="str">
        <x:v>global blocks</x:v>
      </x:c>
      <x:c r="B21" s="22" t="str">
        <x:v>Keep all sources at one time together; one attack episode can span several blocks.</x:v>
      </x:c>
    </x:row>
    <x:row r="22">
      <x:c r="A22" s="21" t="str">
        <x:v>guarded_30m</x:v>
      </x:c>
      <x:c r="B22" s="22" t="str">
        <x:v>Activity separation is stronger; this seed leaves only two attack types in validation and two in test.</x:v>
      </x:c>
    </x:row>
    <x:row r="23">
      <x:c r="A23" s="21" t="str">
        <x:v>Purging</x:v>
      </x:c>
      <x:c r="B23" s="22" t="str">
        <x:v>Whole-window exclusions use actual flow ends and a 100s guard on each side of fold transitions.</x:v>
      </x:c>
    </x:row>
    <x:row r="24">
      <x:c r="A24" s="21" t="str">
        <x:v>Scope</x:v>
      </x:c>
      <x:c r="B24" s="22" t="str">
        <x:v>Descriptive candidates only. Builder unchanged; exact full-row duplicate audit not performed.</x:v>
      </x:c>
    </x:row>
  </x:sheetData>
  <x:pageMargins left="0.7" right="0.7" top="0.75" bottom="0.75" header="0.3" footer="0.3"/>
  <x:tableParts count="1">
    <x:tablePart xmlns:r="http://schemas.openxmlformats.org/officeDocument/2006/relationships" r:id="R7d87046f73024e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Real sequence composition after candidate exclusions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56" customHeight="1">
      <x:c r="A4" s="12" t="str">
        <x:v>Candidate</x:v>
      </x:c>
      <x:c r="B4" s="13" t="str">
        <x:v>Split</x:v>
      </x:c>
      <x:c r="C4" s="13" t="str">
        <x:v>Sequences</x:v>
      </x:c>
      <x:c r="D4" s="13" t="str">
        <x:v>Positive sequences</x:v>
      </x:c>
      <x:c r="E4" s="13" t="str">
        <x:v>Positive share</x:v>
      </x:c>
      <x:c r="F4" s="13" t="str">
        <x:v>Flows</x:v>
      </x:c>
      <x:c r="G4" s="13" t="str">
        <x:v>Attack flows</x:v>
      </x:c>
      <x:c r="H4" s="13" t="str">
        <x:v>Sources</x:v>
      </x:c>
      <x:c r="I4" s="13" t="str">
        <x:v>UTC dates</x:v>
      </x:c>
      <x:c r="J4" s="14" t="str">
        <x:v>Original share</x:v>
      </x:c>
    </x:row>
    <x:row r="5" ht="24" customHeight="1">
      <x:c r="A5" s="15" t="str">
        <x:v>random_100s</x:v>
      </x:c>
      <x:c r="B5" s="15" t="str">
        <x:v>train</x:v>
      </x:c>
      <x:c r="C5" s="15" t="n">
        <x:v>879998</x:v>
      </x:c>
      <x:c r="D5" s="15" t="n">
        <x:v>6550</x:v>
      </x:c>
      <x:c r="E5" s="16" t="n">
        <x:f>IF(C5=0,"n.a.",D5/C5)</x:f>
        <x:v>0.0074431987345425785</x:v>
      </x:c>
      <x:c r="F5" s="15" t="n">
        <x:v>12077829</x:v>
      </x:c>
      <x:c r="G5" s="15" t="n">
        <x:v>1565644</x:v>
      </x:c>
      <x:c r="H5" s="15" t="n">
        <x:v>135556</x:v>
      </x:c>
      <x:c r="I5" s="15" t="n">
        <x:v>11</x:v>
      </x:c>
      <x:c r="J5" s="16" t="n">
        <x:f>C5/1466665</x:f>
        <x:v>0.5999993181810434</x:v>
      </x:c>
    </x:row>
    <x:row r="6" ht="24" customHeight="1">
      <x:c r="A6" s="15" t="str">
        <x:v>random_100s</x:v>
      </x:c>
      <x:c r="B6" s="15" t="str">
        <x:v>validation</x:v>
      </x:c>
      <x:c r="C6" s="15" t="n">
        <x:v>293336</x:v>
      </x:c>
      <x:c r="D6" s="15" t="n">
        <x:v>2186</x:v>
      </x:c>
      <x:c r="E6" s="16" t="n">
        <x:f>IF(C6=0,"n.a.",D6/C6)</x:f>
        <x:v>0.007452204979954728</x:v>
      </x:c>
      <x:c r="F6" s="15" t="n">
        <x:v>4042231</x:v>
      </x:c>
      <x:c r="G6" s="15" t="n">
        <x:v>524723</x:v>
      </x:c>
      <x:c r="H6" s="15" t="n">
        <x:v>68322</x:v>
      </x:c>
      <x:c r="I6" s="15" t="n">
        <x:v>11</x:v>
      </x:c>
      <x:c r="J6" s="16" t="n">
        <x:f>C6/1466665</x:f>
        <x:v>0.20000204545686984</x:v>
      </x:c>
    </x:row>
    <x:row r="7" ht="24" customHeight="1">
      <x:c r="A7" s="15" t="str">
        <x:v>random_100s</x:v>
      </x:c>
      <x:c r="B7" s="15" t="str">
        <x:v>test</x:v>
      </x:c>
      <x:c r="C7" s="15" t="n">
        <x:v>293331</x:v>
      </x:c>
      <x:c r="D7" s="15" t="n">
        <x:v>2182</x:v>
      </x:c>
      <x:c r="E7" s="16" t="n">
        <x:f>IF(C7=0,"n.a.",D7/C7)</x:f>
        <x:v>0.00743869553507812</x:v>
      </x:c>
      <x:c r="F7" s="15" t="n">
        <x:v>3995469</x:v>
      </x:c>
      <x:c r="G7" s="15" t="n">
        <x:v>510536</x:v>
      </x:c>
      <x:c r="H7" s="15" t="n">
        <x:v>68769</x:v>
      </x:c>
      <x:c r="I7" s="15" t="n">
        <x:v>11</x:v>
      </x:c>
      <x:c r="J7" s="16" t="n">
        <x:f>C7/1466665</x:f>
        <x:v>0.19999863636208678</x:v>
      </x:c>
    </x:row>
    <x:row r="8" ht="24" customHeight="1">
      <x:c r="A8" s="15" t="str">
        <x:v>random_100s</x:v>
      </x:c>
      <x:c r="B8" s="15" t="str">
        <x:v>excluded</x:v>
      </x:c>
      <x:c r="C8" s="15" t="n">
        <x:v>0</x:v>
      </x:c>
      <x:c r="D8" s="15" t="n">
        <x:v>0</x:v>
      </x:c>
      <x:c r="E8" s="16" t="str">
        <x:f>IF(C8=0,"n.a.",D8/C8)</x:f>
        <x:v>n.a.</x:v>
      </x:c>
      <x:c r="F8" s="15" t="n">
        <x:v>0</x:v>
      </x:c>
      <x:c r="G8" s="15" t="n">
        <x:v>0</x:v>
      </x:c>
      <x:c r="H8" s="15" t="n">
        <x:v>0</x:v>
      </x:c>
      <x:c r="I8" s="15" t="n">
        <x:v>0</x:v>
      </x:c>
      <x:c r="J8" s="16" t="n">
        <x:f>C8/1466665</x:f>
        <x:v>0</x:v>
      </x:c>
    </x:row>
    <x:row r="9" ht="24" customHeight="1">
      <x:c r="A9" s="15" t="str">
        <x:v>chronological</x:v>
      </x:c>
      <x:c r="B9" s="15" t="str">
        <x:v>train</x:v>
      </x:c>
      <x:c r="C9" s="15" t="n">
        <x:v>879603</x:v>
      </x:c>
      <x:c r="D9" s="15" t="n">
        <x:v>2897</x:v>
      </x:c>
      <x:c r="E9" s="16" t="n">
        <x:f>IF(C9=0,"n.a.",D9/C9)</x:f>
        <x:v>0.0032935312862734665</x:v>
      </x:c>
      <x:c r="F9" s="15" t="n">
        <x:v>12576694</x:v>
      </x:c>
      <x:c r="G9" s="15" t="n">
        <x:v>2205048</x:v>
      </x:c>
      <x:c r="H9" s="15" t="n">
        <x:v>120584</x:v>
      </x:c>
      <x:c r="I9" s="15" t="n">
        <x:v>7</x:v>
      </x:c>
      <x:c r="J9" s="16" t="n">
        <x:f>C9/1466665</x:f>
        <x:v>0.5997299996931814</x:v>
      </x:c>
    </x:row>
    <x:row r="10" ht="24" customHeight="1">
      <x:c r="A10" s="15" t="str">
        <x:v>chronological</x:v>
      </x:c>
      <x:c r="B10" s="15" t="str">
        <x:v>validation</x:v>
      </x:c>
      <x:c r="C10" s="15" t="n">
        <x:v>292021</x:v>
      </x:c>
      <x:c r="D10" s="15" t="n">
        <x:v>3396</x:v>
      </x:c>
      <x:c r="E10" s="16" t="n">
        <x:f>IF(C10=0,"n.a.",D10/C10)</x:f>
        <x:v>0.01162930063248876</x:v>
      </x:c>
      <x:c r="F10" s="15" t="n">
        <x:v>3655594</x:v>
      </x:c>
      <x:c r="G10" s="15" t="n">
        <x:v>86133</x:v>
      </x:c>
      <x:c r="H10" s="15" t="n">
        <x:v>46273</x:v>
      </x:c>
      <x:c r="I10" s="15" t="n">
        <x:v>4</x:v>
      </x:c>
      <x:c r="J10" s="16" t="n">
        <x:f>C10/1466665</x:f>
        <x:v>0.19910545352892448</x:v>
      </x:c>
    </x:row>
    <x:row r="11" ht="24" customHeight="1">
      <x:c r="A11" s="15" t="str">
        <x:v>chronological</x:v>
      </x:c>
      <x:c r="B11" s="15" t="str">
        <x:v>test</x:v>
      </x:c>
      <x:c r="C11" s="15" t="n">
        <x:v>292833</x:v>
      </x:c>
      <x:c r="D11" s="15" t="n">
        <x:v>4605</x:v>
      </x:c>
      <x:c r="E11" s="16" t="n">
        <x:f>IF(C11=0,"n.a.",D11/C11)</x:f>
        <x:v>0.015725686654168076</x:v>
      </x:c>
      <x:c r="F11" s="15" t="n">
        <x:v>3846883</x:v>
      </x:c>
      <x:c r="G11" s="15" t="n">
        <x:v>309512</x:v>
      </x:c>
      <x:c r="H11" s="15" t="n">
        <x:v>43994</x:v>
      </x:c>
      <x:c r="I11" s="15" t="n">
        <x:v>2</x:v>
      </x:c>
      <x:c r="J11" s="16" t="n">
        <x:f>C11/1466665</x:f>
        <x:v>0.19965909052169378</x:v>
      </x:c>
    </x:row>
    <x:row r="12" ht="24" customHeight="1">
      <x:c r="A12" s="15" t="str">
        <x:v>chronological</x:v>
      </x:c>
      <x:c r="B12" s="15" t="str">
        <x:v>excluded</x:v>
      </x:c>
      <x:c r="C12" s="15" t="n">
        <x:v>2208</x:v>
      </x:c>
      <x:c r="D12" s="15" t="n">
        <x:v>20</x:v>
      </x:c>
      <x:c r="E12" s="16" t="n">
        <x:f>IF(C12=0,"n.a.",D12/C12)</x:f>
        <x:v>0.009057971014492754</x:v>
      </x:c>
      <x:c r="F12" s="15" t="n">
        <x:v>36358</x:v>
      </x:c>
      <x:c r="G12" s="15" t="n">
        <x:v>210</x:v>
      </x:c>
      <x:c r="H12" s="15" t="n">
        <x:v>1275</x:v>
      </x:c>
      <x:c r="I12" s="15" t="n">
        <x:v>2</x:v>
      </x:c>
      <x:c r="J12" s="16" t="n">
        <x:f>C12/1466665</x:f>
        <x:v>0.001505456256200291</x:v>
      </x:c>
    </x:row>
    <x:row r="13" ht="24" customHeight="1">
      <x:c r="A13" s="15" t="str">
        <x:v>day_chronological</x:v>
      </x:c>
      <x:c r="B13" s="15" t="str">
        <x:v>train</x:v>
      </x:c>
      <x:c r="C13" s="15" t="n">
        <x:v>848992</x:v>
      </x:c>
      <x:c r="D13" s="15" t="n">
        <x:v>2897</x:v>
      </x:c>
      <x:c r="E13" s="16" t="n">
        <x:f>IF(C13=0,"n.a.",D13/C13)</x:f>
        <x:v>0.003412281858957446</x:v>
      </x:c>
      <x:c r="F13" s="15" t="n">
        <x:v>12171078</x:v>
      </x:c>
      <x:c r="G13" s="15" t="n">
        <x:v>2205048</x:v>
      </x:c>
      <x:c r="H13" s="15" t="n">
        <x:v>116427</x:v>
      </x:c>
      <x:c r="I13" s="15" t="n">
        <x:v>6</x:v>
      </x:c>
      <x:c r="J13" s="16" t="n">
        <x:f>C13/1466665</x:f>
        <x:v>0.5788588396123178</x:v>
      </x:c>
    </x:row>
    <x:row r="14" ht="24" customHeight="1">
      <x:c r="A14" s="15" t="str">
        <x:v>day_chronological</x:v>
      </x:c>
      <x:c r="B14" s="15" t="str">
        <x:v>validation</x:v>
      </x:c>
      <x:c r="C14" s="15" t="n">
        <x:v>315064</x:v>
      </x:c>
      <x:c r="D14" s="15" t="n">
        <x:v>3261</x:v>
      </x:c>
      <x:c r="E14" s="16" t="n">
        <x:f>IF(C14=0,"n.a.",D14/C14)</x:f>
        <x:v>0.010350278038747683</x:v>
      </x:c>
      <x:c r="F14" s="15" t="n">
        <x:v>3953536</x:v>
      </x:c>
      <x:c r="G14" s="15" t="n">
        <x:v>84327</x:v>
      </x:c>
      <x:c r="H14" s="15" t="n">
        <x:v>48236</x:v>
      </x:c>
      <x:c r="I14" s="15" t="n">
        <x:v>3</x:v>
      </x:c>
      <x:c r="J14" s="16" t="n">
        <x:f>C14/1466665</x:f>
        <x:v>0.21481660774614517</x:v>
      </x:c>
    </x:row>
    <x:row r="15" ht="24" customHeight="1">
      <x:c r="A15" s="15" t="str">
        <x:v>day_chronological</x:v>
      </x:c>
      <x:c r="B15" s="15" t="str">
        <x:v>test</x:v>
      </x:c>
      <x:c r="C15" s="15" t="n">
        <x:v>302233</x:v>
      </x:c>
      <x:c r="D15" s="15" t="n">
        <x:v>4760</x:v>
      </x:c>
      <x:c r="E15" s="16" t="n">
        <x:f>IF(C15=0,"n.a.",D15/C15)</x:f>
        <x:v>0.01574943834723541</x:v>
      </x:c>
      <x:c r="F15" s="15" t="n">
        <x:v>3977843</x:v>
      </x:c>
      <x:c r="G15" s="15" t="n">
        <x:v>311528</x:v>
      </x:c>
      <x:c r="H15" s="15" t="n">
        <x:v>45109</x:v>
      </x:c>
      <x:c r="I15" s="15" t="n">
        <x:v>2</x:v>
      </x:c>
      <x:c r="J15" s="16" t="n">
        <x:f>C15/1466665</x:f>
        <x:v>0.20606818871385083</x:v>
      </x:c>
    </x:row>
    <x:row r="16" ht="24" customHeight="1">
      <x:c r="A16" s="15" t="str">
        <x:v>day_chronological</x:v>
      </x:c>
      <x:c r="B16" s="15" t="str">
        <x:v>excluded</x:v>
      </x:c>
      <x:c r="C16" s="15" t="n">
        <x:v>376</x:v>
      </x:c>
      <x:c r="D16" s="15" t="n">
        <x:v>0</x:v>
      </x:c>
      <x:c r="E16" s="16" t="n">
        <x:f>IF(C16=0,"n.a.",D16/C16)</x:f>
        <x:v>0</x:v>
      </x:c>
      <x:c r="F16" s="15" t="n">
        <x:v>13072</x:v>
      </x:c>
      <x:c r="G16" s="15" t="n">
        <x:v>0</x:v>
      </x:c>
      <x:c r="H16" s="15" t="n">
        <x:v>361</x:v>
      </x:c>
      <x:c r="I16" s="15" t="n">
        <x:v>3</x:v>
      </x:c>
      <x:c r="J16" s="16" t="n">
        <x:f>C16/1466665</x:f>
        <x:v>0.0002563639276862815</x:v>
      </x:c>
    </x:row>
    <x:row r="17" ht="24" customHeight="1">
      <x:c r="A17" s="15" t="str">
        <x:v>day_shuffled</x:v>
      </x:c>
      <x:c r="B17" s="15" t="str">
        <x:v>train</x:v>
      </x:c>
      <x:c r="C17" s="15" t="n">
        <x:v>897674</x:v>
      </x:c>
      <x:c r="D17" s="15" t="n">
        <x:v>6001</x:v>
      </x:c>
      <x:c r="E17" s="16" t="n">
        <x:f>IF(C17=0,"n.a.",D17/C17)</x:f>
        <x:v>0.006685054930854631</x:v>
      </x:c>
      <x:c r="F17" s="15" t="n">
        <x:v>12213456</x:v>
      </x:c>
      <x:c r="G17" s="15" t="n">
        <x:v>1508555</x:v>
      </x:c>
      <x:c r="H17" s="15" t="n">
        <x:v>119702</x:v>
      </x:c>
      <x:c r="I17" s="15" t="n">
        <x:v>6</x:v>
      </x:c>
      <x:c r="J17" s="16" t="n">
        <x:f>C17/1466665</x:f>
        <x:v>0.612051150058125</x:v>
      </x:c>
    </x:row>
    <x:row r="18" ht="24" customHeight="1">
      <x:c r="A18" s="15" t="str">
        <x:v>day_shuffled</x:v>
      </x:c>
      <x:c r="B18" s="15" t="str">
        <x:v>validation</x:v>
      </x:c>
      <x:c r="C18" s="15" t="n">
        <x:v>302233</x:v>
      </x:c>
      <x:c r="D18" s="15" t="n">
        <x:v>4760</x:v>
      </x:c>
      <x:c r="E18" s="16" t="n">
        <x:f>IF(C18=0,"n.a.",D18/C18)</x:f>
        <x:v>0.01574943834723541</x:v>
      </x:c>
      <x:c r="F18" s="15" t="n">
        <x:v>3977843</x:v>
      </x:c>
      <x:c r="G18" s="15" t="n">
        <x:v>311528</x:v>
      </x:c>
      <x:c r="H18" s="15" t="n">
        <x:v>45109</x:v>
      </x:c>
      <x:c r="I18" s="15" t="n">
        <x:v>2</x:v>
      </x:c>
      <x:c r="J18" s="16" t="n">
        <x:f>C18/1466665</x:f>
        <x:v>0.20606818871385083</x:v>
      </x:c>
    </x:row>
    <x:row r="19" ht="24" customHeight="1">
      <x:c r="A19" s="15" t="str">
        <x:v>day_shuffled</x:v>
      </x:c>
      <x:c r="B19" s="15" t="str">
        <x:v>test</x:v>
      </x:c>
      <x:c r="C19" s="15" t="n">
        <x:v>266573</x:v>
      </x:c>
      <x:c r="D19" s="15" t="n">
        <x:v>157</x:v>
      </x:c>
      <x:c r="E19" s="16" t="n">
        <x:f>IF(C19=0,"n.a.",D19/C19)</x:f>
        <x:v>0.0005889568711009742</x:v>
      </x:c>
      <x:c r="F19" s="15" t="n">
        <x:v>3920189</x:v>
      </x:c>
      <x:c r="G19" s="15" t="n">
        <x:v>780820</x:v>
      </x:c>
      <x:c r="H19" s="15" t="n">
        <x:v>45641</x:v>
      </x:c>
      <x:c r="I19" s="15" t="n">
        <x:v>3</x:v>
      </x:c>
      <x:c r="J19" s="16" t="n">
        <x:f>C19/1466665</x:f>
        <x:v>0.18175452472105083</x:v>
      </x:c>
    </x:row>
    <x:row r="20" ht="24" customHeight="1">
      <x:c r="A20" s="15" t="str">
        <x:v>day_shuffled</x:v>
      </x:c>
      <x:c r="B20" s="15" t="str">
        <x:v>excluded</x:v>
      </x:c>
      <x:c r="C20" s="15" t="n">
        <x:v>185</x:v>
      </x:c>
      <x:c r="D20" s="15" t="n">
        <x:v>0</x:v>
      </x:c>
      <x:c r="E20" s="16" t="n">
        <x:f>IF(C20=0,"n.a.",D20/C20)</x:f>
        <x:v>0</x:v>
      </x:c>
      <x:c r="F20" s="15" t="n">
        <x:v>4041</x:v>
      </x:c>
      <x:c r="G20" s="15" t="n">
        <x:v>0</x:v>
      </x:c>
      <x:c r="H20" s="15" t="n">
        <x:v>157</x:v>
      </x:c>
      <x:c r="I20" s="15" t="n">
        <x:v>7</x:v>
      </x:c>
      <x:c r="J20" s="16" t="n">
        <x:f>C20/1466665</x:f>
        <x:v>0.00012613650697330337</x:v>
      </x:c>
    </x:row>
    <x:row r="21" ht="24" customHeight="1">
      <x:c r="A21" s="15" t="str">
        <x:v>blocks_15m</x:v>
      </x:c>
      <x:c r="B21" s="15" t="str">
        <x:v>train</x:v>
      </x:c>
      <x:c r="C21" s="15" t="n">
        <x:v>786955</x:v>
      </x:c>
      <x:c r="D21" s="15" t="n">
        <x:v>6770</x:v>
      </x:c>
      <x:c r="E21" s="16" t="n">
        <x:f>IF(C21=0,"n.a.",D21/C21)</x:f>
        <x:v>0.008602779066147365</x:v>
      </x:c>
      <x:c r="F21" s="15" t="n">
        <x:v>10797180</x:v>
      </x:c>
      <x:c r="G21" s="15" t="n">
        <x:v>1774750</x:v>
      </x:c>
      <x:c r="H21" s="15" t="n">
        <x:v>123215</x:v>
      </x:c>
      <x:c r="I21" s="15" t="n">
        <x:v>11</x:v>
      </x:c>
      <x:c r="J21" s="16" t="n">
        <x:f>C21/1466665</x:f>
        <x:v>0.5365608370009511</x:v>
      </x:c>
    </x:row>
    <x:row r="22" ht="24" customHeight="1">
      <x:c r="A22" s="15" t="str">
        <x:v>blocks_15m</x:v>
      </x:c>
      <x:c r="B22" s="15" t="str">
        <x:v>validation</x:v>
      </x:c>
      <x:c r="C22" s="15" t="n">
        <x:v>231280</x:v>
      </x:c>
      <x:c r="D22" s="15" t="n">
        <x:v>1433</x:v>
      </x:c>
      <x:c r="E22" s="16" t="n">
        <x:f>IF(C22=0,"n.a.",D22/C22)</x:f>
        <x:v>0.006195952957454168</x:v>
      </x:c>
      <x:c r="F22" s="15" t="n">
        <x:v>2870480</x:v>
      </x:c>
      <x:c r="G22" s="15" t="n">
        <x:v>362924</x:v>
      </x:c>
      <x:c r="H22" s="15" t="n">
        <x:v>55395</x:v>
      </x:c>
      <x:c r="I22" s="15" t="n">
        <x:v>11</x:v>
      </x:c>
      <x:c r="J22" s="16" t="n">
        <x:f>C22/1466665</x:f>
        <x:v>0.1576910882853276</x:v>
      </x:c>
    </x:row>
    <x:row r="23" ht="24" customHeight="1">
      <x:c r="A23" s="15" t="str">
        <x:v>blocks_15m</x:v>
      </x:c>
      <x:c r="B23" s="15" t="str">
        <x:v>test</x:v>
      </x:c>
      <x:c r="C23" s="15" t="n">
        <x:v>228569</x:v>
      </x:c>
      <x:c r="D23" s="15" t="n">
        <x:v>1276</x:v>
      </x:c>
      <x:c r="E23" s="16" t="n">
        <x:f>IF(C23=0,"n.a.",D23/C23)</x:f>
        <x:v>0.005582559314692719</x:v>
      </x:c>
      <x:c r="F23" s="15" t="n">
        <x:v>2688528</x:v>
      </x:c>
      <x:c r="G23" s="15" t="n">
        <x:v>207045</x:v>
      </x:c>
      <x:c r="H23" s="15" t="n">
        <x:v>55163</x:v>
      </x:c>
      <x:c r="I23" s="15" t="n">
        <x:v>11</x:v>
      </x:c>
      <x:c r="J23" s="16" t="n">
        <x:f>C23/1466665</x:f>
        <x:v>0.15584267709395125</x:v>
      </x:c>
    </x:row>
    <x:row r="24" ht="24" customHeight="1">
      <x:c r="A24" s="15" t="str">
        <x:v>blocks_15m</x:v>
      </x:c>
      <x:c r="B24" s="15" t="str">
        <x:v>excluded</x:v>
      </x:c>
      <x:c r="C24" s="15" t="n">
        <x:v>219861</x:v>
      </x:c>
      <x:c r="D24" s="15" t="n">
        <x:v>1439</x:v>
      </x:c>
      <x:c r="E24" s="16" t="n">
        <x:f>IF(C24=0,"n.a.",D24/C24)</x:f>
        <x:v>0.006545044368942195</x:v>
      </x:c>
      <x:c r="F24" s="15" t="n">
        <x:v>3759341</x:v>
      </x:c>
      <x:c r="G24" s="15" t="n">
        <x:v>256184</x:v>
      </x:c>
      <x:c r="H24" s="15" t="n">
        <x:v>50953</x:v>
      </x:c>
      <x:c r="I24" s="15" t="n">
        <x:v>11</x:v>
      </x:c>
      <x:c r="J24" s="16" t="n">
        <x:f>C24/1466665</x:f>
        <x:v>0.14990539761977</x:v>
      </x:c>
    </x:row>
    <x:row r="25" ht="24" customHeight="1">
      <x:c r="A25" s="15" t="str">
        <x:v>blocks_30m</x:v>
      </x:c>
      <x:c r="B25" s="15" t="str">
        <x:v>train</x:v>
      </x:c>
      <x:c r="C25" s="15" t="n">
        <x:v>828139</x:v>
      </x:c>
      <x:c r="D25" s="15" t="n">
        <x:v>6433</x:v>
      </x:c>
      <x:c r="E25" s="16" t="n">
        <x:f>IF(C25=0,"n.a.",D25/C25)</x:f>
        <x:v>0.007768019619894728</x:v>
      </x:c>
      <x:c r="F25" s="15" t="n">
        <x:v>10908004</x:v>
      </x:c>
      <x:c r="G25" s="15" t="n">
        <x:v>1280716</x:v>
      </x:c>
      <x:c r="H25" s="15" t="n">
        <x:v>127208</x:v>
      </x:c>
      <x:c r="I25" s="15" t="n">
        <x:v>11</x:v>
      </x:c>
      <x:c r="J25" s="16" t="n">
        <x:f>C25/1466665</x:f>
        <x:v>0.5646408689100783</x:v>
      </x:c>
    </x:row>
    <x:row r="26" ht="24" customHeight="1">
      <x:c r="A26" s="15" t="str">
        <x:v>blocks_30m</x:v>
      </x:c>
      <x:c r="B26" s="15" t="str">
        <x:v>validation</x:v>
      </x:c>
      <x:c r="C26" s="15" t="n">
        <x:v>258574</x:v>
      </x:c>
      <x:c r="D26" s="15" t="n">
        <x:v>1530</x:v>
      </x:c>
      <x:c r="E26" s="16" t="n">
        <x:f>IF(C26=0,"n.a.",D26/C26)</x:f>
        <x:v>0.005917068228050771</x:v>
      </x:c>
      <x:c r="F26" s="15" t="n">
        <x:v>3572039</x:v>
      </x:c>
      <x:c r="G26" s="15" t="n">
        <x:v>631732</x:v>
      </x:c>
      <x:c r="H26" s="15" t="n">
        <x:v>55993</x:v>
      </x:c>
      <x:c r="I26" s="15" t="n">
        <x:v>11</x:v>
      </x:c>
      <x:c r="J26" s="16" t="n">
        <x:f>C26/1466665</x:f>
        <x:v>0.17630065488710783</x:v>
      </x:c>
    </x:row>
    <x:row r="27" ht="24" customHeight="1">
      <x:c r="A27" s="15" t="str">
        <x:v>blocks_30m</x:v>
      </x:c>
      <x:c r="B27" s="15" t="str">
        <x:v>test</x:v>
      </x:c>
      <x:c r="C27" s="15" t="n">
        <x:v>260987</x:v>
      </x:c>
      <x:c r="D27" s="15" t="n">
        <x:v>2058</x:v>
      </x:c>
      <x:c r="E27" s="16" t="n">
        <x:f>IF(C27=0,"n.a.",D27/C27)</x:f>
        <x:v>0.007885450233153376</x:v>
      </x:c>
      <x:c r="F27" s="15" t="n">
        <x:v>3386916</x:v>
      </x:c>
      <x:c r="G27" s="15" t="n">
        <x:v>373846</x:v>
      </x:c>
      <x:c r="H27" s="15" t="n">
        <x:v>57502</x:v>
      </x:c>
      <x:c r="I27" s="15" t="n">
        <x:v>11</x:v>
      </x:c>
      <x:c r="J27" s="16" t="n">
        <x:f>C27/1466665</x:f>
        <x:v>0.17794588402941366</x:v>
      </x:c>
    </x:row>
    <x:row r="28" ht="24" customHeight="1">
      <x:c r="A28" s="15" t="str">
        <x:v>blocks_30m</x:v>
      </x:c>
      <x:c r="B28" s="15" t="str">
        <x:v>excluded</x:v>
      </x:c>
      <x:c r="C28" s="15" t="n">
        <x:v>118965</x:v>
      </x:c>
      <x:c r="D28" s="15" t="n">
        <x:v>897</x:v>
      </x:c>
      <x:c r="E28" s="16" t="n">
        <x:f>IF(C28=0,"n.a.",D28/C28)</x:f>
        <x:v>0.00754003278275123</x:v>
      </x:c>
      <x:c r="F28" s="15" t="n">
        <x:v>2248570</x:v>
      </x:c>
      <x:c r="G28" s="15" t="n">
        <x:v>314609</x:v>
      </x:c>
      <x:c r="H28" s="15" t="n">
        <x:v>32721</x:v>
      </x:c>
      <x:c r="I28" s="15" t="n">
        <x:v>11</x:v>
      </x:c>
      <x:c r="J28" s="16" t="n">
        <x:f>C28/1466665</x:f>
        <x:v>0.0811125921734002</x:v>
      </x:c>
    </x:row>
    <x:row r="29" ht="24" customHeight="1">
      <x:c r="A29" s="15" t="str">
        <x:v>blocks_60m</x:v>
      </x:c>
      <x:c r="B29" s="15" t="str">
        <x:v>train</x:v>
      </x:c>
      <x:c r="C29" s="15" t="n">
        <x:v>862580</x:v>
      </x:c>
      <x:c r="D29" s="15" t="n">
        <x:v>7007</x:v>
      </x:c>
      <x:c r="E29" s="16" t="n">
        <x:f>IF(C29=0,"n.a.",D29/C29)</x:f>
        <x:v>0.008123304505089383</x:v>
      </x:c>
      <x:c r="F29" s="15" t="n">
        <x:v>10943984</x:v>
      </x:c>
      <x:c r="G29" s="15" t="n">
        <x:v>784382</x:v>
      </x:c>
      <x:c r="H29" s="15" t="n">
        <x:v>128670</x:v>
      </x:c>
      <x:c r="I29" s="15" t="n">
        <x:v>11</x:v>
      </x:c>
      <x:c r="J29" s="16" t="n">
        <x:f>C29/1466665</x:f>
        <x:v>0.5881233955947677</x:v>
      </x:c>
    </x:row>
    <x:row r="30" ht="24" customHeight="1">
      <x:c r="A30" s="15" t="str">
        <x:v>blocks_60m</x:v>
      </x:c>
      <x:c r="B30" s="15" t="str">
        <x:v>validation</x:v>
      </x:c>
      <x:c r="C30" s="15" t="n">
        <x:v>273566</x:v>
      </x:c>
      <x:c r="D30" s="15" t="n">
        <x:v>1626</x:v>
      </x:c>
      <x:c r="E30" s="16" t="n">
        <x:f>IF(C30=0,"n.a.",D30/C30)</x:f>
        <x:v>0.005943721076449558</x:v>
      </x:c>
      <x:c r="F30" s="15" t="n">
        <x:v>4581999</x:v>
      </x:c>
      <x:c r="G30" s="15" t="n">
        <x:v>1461330</x:v>
      </x:c>
      <x:c r="H30" s="15" t="n">
        <x:v>56557</x:v>
      </x:c>
      <x:c r="I30" s="15" t="n">
        <x:v>11</x:v>
      </x:c>
      <x:c r="J30" s="16" t="n">
        <x:f>C30/1466665</x:f>
        <x:v>0.1865224846846417</x:v>
      </x:c>
    </x:row>
    <x:row r="31" ht="24" customHeight="1">
      <x:c r="A31" s="15" t="str">
        <x:v>blocks_60m</x:v>
      </x:c>
      <x:c r="B31" s="15" t="str">
        <x:v>test</x:v>
      </x:c>
      <x:c r="C31" s="15" t="n">
        <x:v>274677</x:v>
      </x:c>
      <x:c r="D31" s="15" t="n">
        <x:v>1901</x:v>
      </x:c>
      <x:c r="E31" s="16" t="n">
        <x:f>IF(C31=0,"n.a.",D31/C31)</x:f>
        <x:v>0.006920856132839662</x:v>
      </x:c>
      <x:c r="F31" s="15" t="n">
        <x:v>3529948</x:v>
      </x:c>
      <x:c r="G31" s="15" t="n">
        <x:v>205487</x:v>
      </x:c>
      <x:c r="H31" s="15" t="n">
        <x:v>54634</x:v>
      </x:c>
      <x:c r="I31" s="15" t="n">
        <x:v>9</x:v>
      </x:c>
      <x:c r="J31" s="16" t="n">
        <x:f>C31/1466665</x:f>
        <x:v>0.18727998554543812</x:v>
      </x:c>
    </x:row>
    <x:row r="32" ht="24" customHeight="1">
      <x:c r="A32" s="15" t="str">
        <x:v>blocks_60m</x:v>
      </x:c>
      <x:c r="B32" s="15" t="str">
        <x:v>excluded</x:v>
      </x:c>
      <x:c r="C32" s="15" t="n">
        <x:v>55842</x:v>
      </x:c>
      <x:c r="D32" s="15" t="n">
        <x:v>384</x:v>
      </x:c>
      <x:c r="E32" s="16" t="n">
        <x:f>IF(C32=0,"n.a.",D32/C32)</x:f>
        <x:v>0.006876544536370474</x:v>
      </x:c>
      <x:c r="F32" s="15" t="n">
        <x:v>1059598</x:v>
      </x:c>
      <x:c r="G32" s="15" t="n">
        <x:v>149704</x:v>
      </x:c>
      <x:c r="H32" s="15" t="n">
        <x:v>18254</x:v>
      </x:c>
      <x:c r="I32" s="15" t="n">
        <x:v>11</x:v>
      </x:c>
      <x:c r="J32" s="16" t="n">
        <x:f>C32/1466665</x:f>
        <x:v>0.03807413417515247</x:v>
      </x:c>
    </x:row>
    <x:row r="33" ht="24" customHeight="1">
      <x:c r="A33" s="15" t="str">
        <x:v>guarded_30m</x:v>
      </x:c>
      <x:c r="B33" s="15" t="str">
        <x:v>train</x:v>
      </x:c>
      <x:c r="C33" s="15" t="n">
        <x:v>872650</x:v>
      </x:c>
      <x:c r="D33" s="15" t="n">
        <x:v>5665</x:v>
      </x:c>
      <x:c r="E33" s="16" t="n">
        <x:f>IF(C33=0,"n.a.",D33/C33)</x:f>
        <x:v>0.00649172062109666</x:v>
      </x:c>
      <x:c r="F33" s="15" t="n">
        <x:v>12497938</x:v>
      </x:c>
      <x:c r="G33" s="15" t="n">
        <x:v>1994375</x:v>
      </x:c>
      <x:c r="H33" s="15" t="n">
        <x:v>124464</x:v>
      </x:c>
      <x:c r="I33" s="15" t="n">
        <x:v>11</x:v>
      </x:c>
      <x:c r="J33" s="16" t="n">
        <x:f>C33/1466665</x:f>
        <x:v>0.5949893124878551</x:v>
      </x:c>
    </x:row>
    <x:row r="34" ht="24" customHeight="1">
      <x:c r="A34" s="15" t="str">
        <x:v>guarded_30m</x:v>
      </x:c>
      <x:c r="B34" s="15" t="str">
        <x:v>validation</x:v>
      </x:c>
      <x:c r="C34" s="15" t="n">
        <x:v>306126</x:v>
      </x:c>
      <x:c r="D34" s="15" t="n">
        <x:v>1575</x:v>
      </x:c>
      <x:c r="E34" s="16" t="n">
        <x:f>IF(C34=0,"n.a.",D34/C34)</x:f>
        <x:v>0.005144940318692303</x:v>
      </x:c>
      <x:c r="F34" s="15" t="n">
        <x:v>3631618</x:v>
      </x:c>
      <x:c r="G34" s="15" t="n">
        <x:v>211153</x:v>
      </x:c>
      <x:c r="H34" s="15" t="n">
        <x:v>57980</x:v>
      </x:c>
      <x:c r="I34" s="15" t="n">
        <x:v>11</x:v>
      </x:c>
      <x:c r="J34" s="16" t="n">
        <x:f>C34/1466665</x:f>
        <x:v>0.20872250991194308</x:v>
      </x:c>
    </x:row>
    <x:row r="35" ht="24" customHeight="1">
      <x:c r="A35" s="15" t="str">
        <x:v>guarded_30m</x:v>
      </x:c>
      <x:c r="B35" s="15" t="str">
        <x:v>test</x:v>
      </x:c>
      <x:c r="C35" s="15" t="n">
        <x:v>238664</x:v>
      </x:c>
      <x:c r="D35" s="15" t="n">
        <x:v>3645</x:v>
      </x:c>
      <x:c r="E35" s="16" t="n">
        <x:f>IF(C35=0,"n.a.",D35/C35)</x:f>
        <x:v>0.015272517011363255</x:v>
      </x:c>
      <x:c r="F35" s="15" t="n">
        <x:v>3151215</x:v>
      </x:c>
      <x:c r="G35" s="15" t="n">
        <x:v>370697</x:v>
      </x:c>
      <x:c r="H35" s="15" t="n">
        <x:v>44467</x:v>
      </x:c>
      <x:c r="I35" s="15" t="n">
        <x:v>9</x:v>
      </x:c>
      <x:c r="J35" s="16" t="n">
        <x:f>C35/1466665</x:f>
        <x:v>0.16272563946095392</x:v>
      </x:c>
    </x:row>
    <x:row r="36" ht="24" customHeight="1">
      <x:c r="A36" s="15" t="str">
        <x:v>guarded_30m</x:v>
      </x:c>
      <x:c r="B36" s="15" t="str">
        <x:v>excluded</x:v>
      </x:c>
      <x:c r="C36" s="15" t="n">
        <x:v>49225</x:v>
      </x:c>
      <x:c r="D36" s="15" t="n">
        <x:v>33</x:v>
      </x:c>
      <x:c r="E36" s="16" t="n">
        <x:f>IF(C36=0,"n.a.",D36/C36)</x:f>
        <x:v>0.000670391061452514</x:v>
      </x:c>
      <x:c r="F36" s="15" t="n">
        <x:v>834758</x:v>
      </x:c>
      <x:c r="G36" s="15" t="n">
        <x:v>24678</x:v>
      </x:c>
      <x:c r="H36" s="15" t="n">
        <x:v>15631</x:v>
      </x:c>
      <x:c r="I36" s="15" t="n">
        <x:v>11</x:v>
      </x:c>
      <x:c r="J36" s="16" t="n">
        <x:f>C36/1466665</x:f>
        <x:v>0.03356253813924789</x:v>
      </x:c>
    </x:row>
  </x:sheetData>
  <x:pageMargins left="0.7" right="0.7" top="0.75" bottom="0.75" header="0.3" footer="0.3"/>
  <x:tableParts count="1">
    <x:tablePart xmlns:r="http://schemas.openxmlformats.org/officeDocument/2006/relationships" r:id="Reddcce73964941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3" t="str">
        <x:v>Attack types retained in each candidate; episodes use a 300s gap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56" customHeight="1">
      <x:c r="A4" s="12" t="str">
        <x:v>Candidate</x:v>
      </x:c>
      <x:c r="B4" s="13" t="str">
        <x:v>Attack type</x:v>
      </x:c>
      <x:c r="C4" s="13" t="str">
        <x:v>Train windows</x:v>
      </x:c>
      <x:c r="D4" s="13" t="str">
        <x:v>Validation windows</x:v>
      </x:c>
      <x:c r="E4" s="13" t="str">
        <x:v>Test windows</x:v>
      </x:c>
      <x:c r="F4" s="13" t="str">
        <x:v>Excluded windows</x:v>
      </x:c>
      <x:c r="G4" s="13" t="str">
        <x:v>Test unseen in train</x:v>
      </x:c>
      <x:c r="H4" s="13" t="str">
        <x:v>Test only</x:v>
      </x:c>
      <x:c r="I4" s="13" t="str">
        <x:v>Validation unseen</x:v>
      </x:c>
      <x:c r="J4" s="13" t="str">
        <x:v>All three sets</x:v>
      </x:c>
      <x:c r="K4" s="13" t="str">
        <x:v>Train flows</x:v>
      </x:c>
      <x:c r="L4" s="13" t="str">
        <x:v>Validation flows</x:v>
      </x:c>
      <x:c r="M4" s="13" t="str">
        <x:v>Test flows</x:v>
      </x:c>
      <x:c r="N4" s="13" t="str">
        <x:v>Train sources</x:v>
      </x:c>
      <x:c r="O4" s="13" t="str">
        <x:v>Validation sources</x:v>
      </x:c>
      <x:c r="P4" s="13" t="str">
        <x:v>Test sources</x:v>
      </x:c>
      <x:c r="Q4" s="13" t="str">
        <x:v>Train episodes</x:v>
      </x:c>
      <x:c r="R4" s="13" t="str">
        <x:v>Validation episodes</x:v>
      </x:c>
      <x:c r="S4" s="14" t="str">
        <x:v>Test episodes</x:v>
      </x:c>
    </x:row>
    <x:row r="5" ht="24" customHeight="1">
      <x:c r="A5" s="15" t="str">
        <x:v>random_100s</x:v>
      </x:c>
      <x:c r="B5" s="15" t="str">
        <x:v>Bot</x:v>
      </x:c>
      <x:c r="C5" s="15" t="n">
        <x:v>832</x:v>
      </x:c>
      <x:c r="D5" s="15" t="n">
        <x:v>278</x:v>
      </x:c>
      <x:c r="E5" s="15" t="n">
        <x:v>277</x:v>
      </x:c>
      <x:c r="F5" s="15" t="n">
        <x:v>0</x:v>
      </x:c>
      <x:c r="G5" s="17" t="n">
        <x:v>0</x:v>
      </x:c>
      <x:c r="H5" s="17" t="n">
        <x:v>0</x:v>
      </x:c>
      <x:c r="I5" s="17" t="n">
        <x:v>0</x:v>
      </x:c>
      <x:c r="J5" s="17" t="n">
        <x:v>1</x:v>
      </x:c>
      <x:c r="K5" s="15" t="n">
        <x:v>123512</x:v>
      </x:c>
      <x:c r="L5" s="15" t="n">
        <x:v>41293</x:v>
      </x:c>
      <x:c r="M5" s="15" t="n">
        <x:v>42898</x:v>
      </x:c>
      <x:c r="N5" s="15" t="n">
        <x:v>8</x:v>
      </x:c>
      <x:c r="O5" s="15" t="n">
        <x:v>8</x:v>
      </x:c>
      <x:c r="P5" s="15" t="n">
        <x:v>8</x:v>
      </x:c>
      <x:c r="Q5" s="15" t="n">
        <x:v>1</x:v>
      </x:c>
      <x:c r="R5" s="15" t="n">
        <x:v>1</x:v>
      </x:c>
      <x:c r="S5" s="15" t="n">
        <x:v>1</x:v>
      </x:c>
    </x:row>
    <x:row r="6" ht="24" customHeight="1">
      <x:c r="A6" s="15" t="str">
        <x:v>random_100s</x:v>
      </x:c>
      <x:c r="B6" s="15" t="str">
        <x:v>Brute_Force_-Web</x:v>
      </x:c>
      <x:c r="C6" s="15" t="n">
        <x:v>777</x:v>
      </x:c>
      <x:c r="D6" s="15" t="n">
        <x:v>259</x:v>
      </x:c>
      <x:c r="E6" s="15" t="n">
        <x:v>259</x:v>
      </x:c>
      <x:c r="F6" s="15" t="n">
        <x:v>0</x:v>
      </x:c>
      <x:c r="G6" s="17" t="n">
        <x:v>0</x:v>
      </x:c>
      <x:c r="H6" s="17" t="n">
        <x:v>0</x:v>
      </x:c>
      <x:c r="I6" s="17" t="n">
        <x:v>0</x:v>
      </x:c>
      <x:c r="J6" s="17" t="n">
        <x:v>1</x:v>
      </x:c>
      <x:c r="K6" s="15" t="n">
        <x:v>996</x:v>
      </x:c>
      <x:c r="L6" s="15" t="n">
        <x:v>320</x:v>
      </x:c>
      <x:c r="M6" s="15" t="n">
        <x:v>302</x:v>
      </x:c>
      <x:c r="N6" s="15" t="n">
        <x:v>367</x:v>
      </x:c>
      <x:c r="O6" s="15" t="n">
        <x:v>150</x:v>
      </x:c>
      <x:c r="P6" s="15" t="n">
        <x:v>145</x:v>
      </x:c>
      <x:c r="Q6" s="15" t="n">
        <x:v>1</x:v>
      </x:c>
      <x:c r="R6" s="15" t="n">
        <x:v>1</x:v>
      </x:c>
      <x:c r="S6" s="15" t="n">
        <x:v>1</x:v>
      </x:c>
    </x:row>
    <x:row r="7" ht="24" customHeight="1">
      <x:c r="A7" s="15" t="str">
        <x:v>random_100s</x:v>
      </x:c>
      <x:c r="B7" s="15" t="str">
        <x:v>Brute_Force_-XSS</x:v>
      </x:c>
      <x:c r="C7" s="15" t="n">
        <x:v>259</x:v>
      </x:c>
      <x:c r="D7" s="15" t="n">
        <x:v>94</x:v>
      </x:c>
      <x:c r="E7" s="15" t="n">
        <x:v>89</x:v>
      </x:c>
      <x:c r="F7" s="15" t="n">
        <x:v>0</x:v>
      </x:c>
      <x:c r="G7" s="17" t="n">
        <x:v>0</x:v>
      </x:c>
      <x:c r="H7" s="17" t="n">
        <x:v>0</x:v>
      </x:c>
      <x:c r="I7" s="17" t="n">
        <x:v>0</x:v>
      </x:c>
      <x:c r="J7" s="17" t="n">
        <x:v>1</x:v>
      </x:c>
      <x:c r="K7" s="15" t="n">
        <x:v>279</x:v>
      </x:c>
      <x:c r="L7" s="15" t="n">
        <x:v>102</x:v>
      </x:c>
      <x:c r="M7" s="15" t="n">
        <x:v>99</x:v>
      </x:c>
      <x:c r="N7" s="15" t="n">
        <x:v>4</x:v>
      </x:c>
      <x:c r="O7" s="15" t="n">
        <x:v>4</x:v>
      </x:c>
      <x:c r="P7" s="15" t="n">
        <x:v>4</x:v>
      </x:c>
      <x:c r="Q7" s="15" t="n">
        <x:v>1</x:v>
      </x:c>
      <x:c r="R7" s="15" t="n">
        <x:v>1</x:v>
      </x:c>
      <x:c r="S7" s="15" t="n">
        <x:v>1</x:v>
      </x:c>
    </x:row>
    <x:row r="8" ht="24" customHeight="1">
      <x:c r="A8" s="15" t="str">
        <x:v>random_100s</x:v>
      </x:c>
      <x:c r="B8" s="15" t="str">
        <x:v>DDOS_attack-HOIC</x:v>
      </x:c>
      <x:c r="C8" s="15" t="n">
        <x:v>204</x:v>
      </x:c>
      <x:c r="D8" s="15" t="n">
        <x:v>68</x:v>
      </x:c>
      <x:c r="E8" s="15" t="n">
        <x:v>68</x:v>
      </x:c>
      <x:c r="F8" s="15" t="n">
        <x:v>0</x:v>
      </x:c>
      <x:c r="G8" s="17" t="n">
        <x:v>0</x:v>
      </x:c>
      <x:c r="H8" s="17" t="n">
        <x:v>0</x:v>
      </x:c>
      <x:c r="I8" s="17" t="n">
        <x:v>0</x:v>
      </x:c>
      <x:c r="J8" s="17" t="n">
        <x:v>1</x:v>
      </x:c>
      <x:c r="K8" s="15" t="n">
        <x:v>636523</x:v>
      </x:c>
      <x:c r="L8" s="15" t="n">
        <x:v>206300</x:v>
      </x:c>
      <x:c r="M8" s="15" t="n">
        <x:v>189488</x:v>
      </x:c>
      <x:c r="N8" s="15" t="n">
        <x:v>10</x:v>
      </x:c>
      <x:c r="O8" s="15" t="n">
        <x:v>10</x:v>
      </x:c>
      <x:c r="P8" s="15" t="n">
        <x:v>10</x:v>
      </x:c>
      <x:c r="Q8" s="15" t="n">
        <x:v>1</x:v>
      </x:c>
      <x:c r="R8" s="15" t="n">
        <x:v>1</x:v>
      </x:c>
      <x:c r="S8" s="15" t="n">
        <x:v>1</x:v>
      </x:c>
    </x:row>
    <x:row r="9" ht="24" customHeight="1">
      <x:c r="A9" s="15" t="str">
        <x:v>random_100s</x:v>
      </x:c>
      <x:c r="B9" s="15" t="str">
        <x:v>DDOS_attack-LOIC-UDP</x:v>
      </x:c>
      <x:c r="C9" s="15" t="n">
        <x:v>113</x:v>
      </x:c>
      <x:c r="D9" s="15" t="n">
        <x:v>38</x:v>
      </x:c>
      <x:c r="E9" s="15" t="n">
        <x:v>37</x:v>
      </x:c>
      <x:c r="F9" s="15" t="n">
        <x:v>0</x:v>
      </x:c>
      <x:c r="G9" s="17" t="n">
        <x:v>0</x:v>
      </x:c>
      <x:c r="H9" s="17" t="n">
        <x:v>0</x:v>
      </x:c>
      <x:c r="I9" s="17" t="n">
        <x:v>0</x:v>
      </x:c>
      <x:c r="J9" s="17" t="n">
        <x:v>1</x:v>
      </x:c>
      <x:c r="K9" s="15" t="n">
        <x:v>2078</x:v>
      </x:c>
      <x:c r="L9" s="15" t="n">
        <x:v>716</x:v>
      </x:c>
      <x:c r="M9" s="15" t="n">
        <x:v>656</x:v>
      </x:c>
      <x:c r="N9" s="15" t="n">
        <x:v>10</x:v>
      </x:c>
      <x:c r="O9" s="15" t="n">
        <x:v>10</x:v>
      </x:c>
      <x:c r="P9" s="15" t="n">
        <x:v>10</x:v>
      </x:c>
      <x:c r="Q9" s="15" t="n">
        <x:v>1</x:v>
      </x:c>
      <x:c r="R9" s="15" t="n">
        <x:v>1</x:v>
      </x:c>
      <x:c r="S9" s="15" t="n">
        <x:v>1</x:v>
      </x:c>
    </x:row>
    <x:row r="10" ht="24" customHeight="1">
      <x:c r="A10" s="15" t="str">
        <x:v>random_100s</x:v>
      </x:c>
      <x:c r="B10" s="15" t="str">
        <x:v>DDoS_attacks-LOIC-HTTP</x:v>
      </x:c>
      <x:c r="C10" s="15" t="n">
        <x:v>283</x:v>
      </x:c>
      <x:c r="D10" s="15" t="n">
        <x:v>94</x:v>
      </x:c>
      <x:c r="E10" s="15" t="n">
        <x:v>94</x:v>
      </x:c>
      <x:c r="F10" s="15" t="n">
        <x:v>0</x:v>
      </x:c>
      <x:c r="G10" s="17" t="n">
        <x:v>0</x:v>
      </x:c>
      <x:c r="H10" s="17" t="n">
        <x:v>0</x:v>
      </x:c>
      <x:c r="I10" s="17" t="n">
        <x:v>0</x:v>
      </x:c>
      <x:c r="J10" s="17" t="n">
        <x:v>1</x:v>
      </x:c>
      <x:c r="K10" s="15" t="n">
        <x:v>175795</x:v>
      </x:c>
      <x:c r="L10" s="15" t="n">
        <x:v>54170</x:v>
      </x:c>
      <x:c r="M10" s="15" t="n">
        <x:v>58624</x:v>
      </x:c>
      <x:c r="N10" s="15" t="n">
        <x:v>10</x:v>
      </x:c>
      <x:c r="O10" s="15" t="n">
        <x:v>10</x:v>
      </x:c>
      <x:c r="P10" s="15" t="n">
        <x:v>10</x:v>
      </x:c>
      <x:c r="Q10" s="15" t="n">
        <x:v>3</x:v>
      </x:c>
      <x:c r="R10" s="15" t="n">
        <x:v>2</x:v>
      </x:c>
      <x:c r="S10" s="15" t="n">
        <x:v>2</x:v>
      </x:c>
    </x:row>
    <x:row r="11" ht="24" customHeight="1">
      <x:c r="A11" s="15" t="str">
        <x:v>random_100s</x:v>
      </x:c>
      <x:c r="B11" s="15" t="str">
        <x:v>DoS_attacks-GoldenEye</x:v>
      </x:c>
      <x:c r="C11" s="15" t="n">
        <x:v>8</x:v>
      </x:c>
      <x:c r="D11" s="15" t="n">
        <x:v>3</x:v>
      </x:c>
      <x:c r="E11" s="15" t="n">
        <x:v>3</x:v>
      </x:c>
      <x:c r="F11" s="15" t="n">
        <x:v>0</x:v>
      </x:c>
      <x:c r="G11" s="17" t="n">
        <x:v>0</x:v>
      </x:c>
      <x:c r="H11" s="17" t="n">
        <x:v>0</x:v>
      </x:c>
      <x:c r="I11" s="17" t="n">
        <x:v>0</x:v>
      </x:c>
      <x:c r="J11" s="17" t="n">
        <x:v>1</x:v>
      </x:c>
      <x:c r="K11" s="15" t="n">
        <x:v>31396</x:v>
      </x:c>
      <x:c r="L11" s="15" t="n">
        <x:v>12318</x:v>
      </x:c>
      <x:c r="M11" s="15" t="n">
        <x:v>17586</x:v>
      </x:c>
      <x:c r="N11" s="15" t="n">
        <x:v>1</x:v>
      </x:c>
      <x:c r="O11" s="15" t="n">
        <x:v>1</x:v>
      </x:c>
      <x:c r="P11" s="15" t="n">
        <x:v>1</x:v>
      </x:c>
      <x:c r="Q11" s="15" t="n">
        <x:v>5</x:v>
      </x:c>
      <x:c r="R11" s="15" t="n">
        <x:v>2</x:v>
      </x:c>
      <x:c r="S11" s="15" t="n">
        <x:v>3</x:v>
      </x:c>
    </x:row>
    <x:row r="12" ht="24" customHeight="1">
      <x:c r="A12" s="15" t="str">
        <x:v>random_100s</x:v>
      </x:c>
      <x:c r="B12" s="15" t="str">
        <x:v>DoS_attacks-Hulk</x:v>
      </x:c>
      <x:c r="C12" s="15" t="n">
        <x:v>5</x:v>
      </x:c>
      <x:c r="D12" s="15" t="n">
        <x:v>2</x:v>
      </x:c>
      <x:c r="E12" s="15" t="n">
        <x:v>2</x:v>
      </x:c>
      <x:c r="F12" s="15" t="n">
        <x:v>0</x:v>
      </x:c>
      <x:c r="G12" s="17" t="n">
        <x:v>0</x:v>
      </x:c>
      <x:c r="H12" s="17" t="n">
        <x:v>0</x:v>
      </x:c>
      <x:c r="I12" s="17" t="n">
        <x:v>0</x:v>
      </x:c>
      <x:c r="J12" s="17" t="n">
        <x:v>1</x:v>
      </x:c>
      <x:c r="K12" s="15" t="n">
        <x:v>50779</x:v>
      </x:c>
      <x:c r="L12" s="15" t="n">
        <x:v>23602</x:v>
      </x:c>
      <x:c r="M12" s="15" t="n">
        <x:v>25695</x:v>
      </x:c>
      <x:c r="N12" s="15" t="n">
        <x:v>1</x:v>
      </x:c>
      <x:c r="O12" s="15" t="n">
        <x:v>1</x:v>
      </x:c>
      <x:c r="P12" s="15" t="n">
        <x:v>1</x:v>
      </x:c>
      <x:c r="Q12" s="15" t="n">
        <x:v>1</x:v>
      </x:c>
      <x:c r="R12" s="15" t="n">
        <x:v>1</x:v>
      </x:c>
      <x:c r="S12" s="15" t="n">
        <x:v>1</x:v>
      </x:c>
    </x:row>
    <x:row r="13" ht="24" customHeight="1">
      <x:c r="A13" s="15" t="str">
        <x:v>random_100s</x:v>
      </x:c>
      <x:c r="B13" s="15" t="str">
        <x:v>DoS_attacks-SlowHTTPTest</x:v>
      </x:c>
      <x:c r="C13" s="15" t="n">
        <x:v>20</x:v>
      </x:c>
      <x:c r="D13" s="15" t="n">
        <x:v>7</x:v>
      </x:c>
      <x:c r="E13" s="15" t="n">
        <x:v>6</x:v>
      </x:c>
      <x:c r="F13" s="15" t="n">
        <x:v>0</x:v>
      </x:c>
      <x:c r="G13" s="17" t="n">
        <x:v>0</x:v>
      </x:c>
      <x:c r="H13" s="17" t="n">
        <x:v>0</x:v>
      </x:c>
      <x:c r="I13" s="17" t="n">
        <x:v>0</x:v>
      </x:c>
      <x:c r="J13" s="17" t="n">
        <x:v>1</x:v>
      </x:c>
      <x:c r="K13" s="15" t="n">
        <x:v>65270</x:v>
      </x:c>
      <x:c r="L13" s="15" t="n">
        <x:v>23240</x:v>
      </x:c>
      <x:c r="M13" s="15" t="n">
        <x:v>17040</x:v>
      </x:c>
      <x:c r="N13" s="15" t="n">
        <x:v>1</x:v>
      </x:c>
      <x:c r="O13" s="15" t="n">
        <x:v>1</x:v>
      </x:c>
      <x:c r="P13" s="15" t="n">
        <x:v>1</x:v>
      </x:c>
      <x:c r="Q13" s="15" t="n">
        <x:v>1</x:v>
      </x:c>
      <x:c r="R13" s="15" t="n">
        <x:v>1</x:v>
      </x:c>
      <x:c r="S13" s="15" t="n">
        <x:v>1</x:v>
      </x:c>
    </x:row>
    <x:row r="14" ht="24" customHeight="1">
      <x:c r="A14" s="15" t="str">
        <x:v>random_100s</x:v>
      </x:c>
      <x:c r="B14" s="15" t="str">
        <x:v>DoS_attacks-Slowloris</x:v>
      </x:c>
      <x:c r="C14" s="15" t="n">
        <x:v>15</x:v>
      </x:c>
      <x:c r="D14" s="15" t="n">
        <x:v>5</x:v>
      </x:c>
      <x:c r="E14" s="15" t="n">
        <x:v>5</x:v>
      </x:c>
      <x:c r="F14" s="15" t="n">
        <x:v>0</x:v>
      </x:c>
      <x:c r="G14" s="17" t="n">
        <x:v>0</x:v>
      </x:c>
      <x:c r="H14" s="17" t="n">
        <x:v>0</x:v>
      </x:c>
      <x:c r="I14" s="17" t="n">
        <x:v>0</x:v>
      </x:c>
      <x:c r="J14" s="17" t="n">
        <x:v>1</x:v>
      </x:c>
      <x:c r="K14" s="15" t="n">
        <x:v>21756</x:v>
      </x:c>
      <x:c r="L14" s="15" t="n">
        <x:v>7132</x:v>
      </x:c>
      <x:c r="M14" s="15" t="n">
        <x:v>7152</x:v>
      </x:c>
      <x:c r="N14" s="15" t="n">
        <x:v>1</x:v>
      </x:c>
      <x:c r="O14" s="15" t="n">
        <x:v>1</x:v>
      </x:c>
      <x:c r="P14" s="15" t="n">
        <x:v>1</x:v>
      </x:c>
      <x:c r="Q14" s="15" t="n">
        <x:v>1</x:v>
      </x:c>
      <x:c r="R14" s="15" t="n">
        <x:v>1</x:v>
      </x:c>
      <x:c r="S14" s="15" t="n">
        <x:v>1</x:v>
      </x:c>
    </x:row>
    <x:row r="15" ht="24" customHeight="1">
      <x:c r="A15" s="15" t="str">
        <x:v>random_100s</x:v>
      </x:c>
      <x:c r="B15" s="15" t="str">
        <x:v>FTP-BruteForce</x:v>
      </x:c>
      <x:c r="C15" s="15" t="n">
        <x:v>35</x:v>
      </x:c>
      <x:c r="D15" s="15" t="n">
        <x:v>12</x:v>
      </x:c>
      <x:c r="E15" s="15" t="n">
        <x:v>12</x:v>
      </x:c>
      <x:c r="F15" s="15" t="n">
        <x:v>0</x:v>
      </x:c>
      <x:c r="G15" s="17" t="n">
        <x:v>0</x:v>
      </x:c>
      <x:c r="H15" s="17" t="n">
        <x:v>0</x:v>
      </x:c>
      <x:c r="I15" s="17" t="n">
        <x:v>0</x:v>
      </x:c>
      <x:c r="J15" s="17" t="n">
        <x:v>1</x:v>
      </x:c>
      <x:c r="K15" s="15" t="n">
        <x:v>227346</x:v>
      </x:c>
      <x:c r="L15" s="15" t="n">
        <x:v>79680</x:v>
      </x:c>
      <x:c r="M15" s="15" t="n">
        <x:v>79694</x:v>
      </x:c>
      <x:c r="N15" s="15" t="n">
        <x:v>1</x:v>
      </x:c>
      <x:c r="O15" s="15" t="n">
        <x:v>1</x:v>
      </x:c>
      <x:c r="P15" s="15" t="n">
        <x:v>1</x:v>
      </x:c>
      <x:c r="Q15" s="15" t="n">
        <x:v>1</x:v>
      </x:c>
      <x:c r="R15" s="15" t="n">
        <x:v>1</x:v>
      </x:c>
      <x:c r="S15" s="15" t="n">
        <x:v>1</x:v>
      </x:c>
    </x:row>
    <x:row r="16" ht="24" customHeight="1">
      <x:c r="A16" s="15" t="str">
        <x:v>random_100s</x:v>
      </x:c>
      <x:c r="B16" s="15" t="str">
        <x:v>Infilteration</x:v>
      </x:c>
      <x:c r="C16" s="15" t="n">
        <x:v>3980</x:v>
      </x:c>
      <x:c r="D16" s="15" t="n">
        <x:v>1327</x:v>
      </x:c>
      <x:c r="E16" s="15" t="n">
        <x:v>1327</x:v>
      </x:c>
      <x:c r="F16" s="15" t="n">
        <x:v>0</x:v>
      </x:c>
      <x:c r="G16" s="17" t="n">
        <x:v>0</x:v>
      </x:c>
      <x:c r="H16" s="17" t="n">
        <x:v>0</x:v>
      </x:c>
      <x:c r="I16" s="17" t="n">
        <x:v>0</x:v>
      </x:c>
      <x:c r="J16" s="17" t="n">
        <x:v>1</x:v>
      </x:c>
      <x:c r="K16" s="15" t="n">
        <x:v>113913</x:v>
      </x:c>
      <x:c r="L16" s="15" t="n">
        <x:v>37694</x:v>
      </x:c>
      <x:c r="M16" s="15" t="n">
        <x:v>36545</x:v>
      </x:c>
      <x:c r="N16" s="15" t="n">
        <x:v>420</x:v>
      </x:c>
      <x:c r="O16" s="15" t="n">
        <x:v>189</x:v>
      </x:c>
      <x:c r="P16" s="15" t="n">
        <x:v>187</x:v>
      </x:c>
      <x:c r="Q16" s="15" t="n">
        <x:v>2</x:v>
      </x:c>
      <x:c r="R16" s="15" t="n">
        <x:v>2</x:v>
      </x:c>
      <x:c r="S16" s="15" t="n">
        <x:v>3</x:v>
      </x:c>
    </x:row>
    <x:row r="17" ht="24" customHeight="1">
      <x:c r="A17" s="15" t="str">
        <x:v>random_100s</x:v>
      </x:c>
      <x:c r="B17" s="15" t="str">
        <x:v>SQL_Injection</x:v>
      </x:c>
      <x:c r="C17" s="15" t="n">
        <x:v>234</x:v>
      </x:c>
      <x:c r="D17" s="15" t="n">
        <x:v>77</x:v>
      </x:c>
      <x:c r="E17" s="15" t="n">
        <x:v>77</x:v>
      </x:c>
      <x:c r="F17" s="15" t="n">
        <x:v>0</x:v>
      </x:c>
      <x:c r="G17" s="17" t="n">
        <x:v>0</x:v>
      </x:c>
      <x:c r="H17" s="17" t="n">
        <x:v>0</x:v>
      </x:c>
      <x:c r="I17" s="17" t="n">
        <x:v>0</x:v>
      </x:c>
      <x:c r="J17" s="17" t="n">
        <x:v>1</x:v>
      </x:c>
      <x:c r="K17" s="15" t="n">
        <x:v>259</x:v>
      </x:c>
      <x:c r="L17" s="15" t="n">
        <x:v>92</x:v>
      </x:c>
      <x:c r="M17" s="15" t="n">
        <x:v>89</x:v>
      </x:c>
      <x:c r="N17" s="15" t="n">
        <x:v>4</x:v>
      </x:c>
      <x:c r="O17" s="15" t="n">
        <x:v>4</x:v>
      </x:c>
      <x:c r="P17" s="15" t="n">
        <x:v>4</x:v>
      </x:c>
      <x:c r="Q17" s="15" t="n">
        <x:v>1</x:v>
      </x:c>
      <x:c r="R17" s="15" t="n">
        <x:v>1</x:v>
      </x:c>
      <x:c r="S17" s="15" t="n">
        <x:v>1</x:v>
      </x:c>
    </x:row>
    <x:row r="18" ht="24" customHeight="1">
      <x:c r="A18" s="15" t="str">
        <x:v>random_100s</x:v>
      </x:c>
      <x:c r="B18" s="15" t="str">
        <x:v>SSH-Bruteforce</x:v>
      </x:c>
      <x:c r="C18" s="15" t="n">
        <x:v>34</x:v>
      </x:c>
      <x:c r="D18" s="15" t="n">
        <x:v>11</x:v>
      </x:c>
      <x:c r="E18" s="15" t="n">
        <x:v>11</x:v>
      </x:c>
      <x:c r="F18" s="15" t="n">
        <x:v>0</x:v>
      </x:c>
      <x:c r="G18" s="17" t="n">
        <x:v>0</x:v>
      </x:c>
      <x:c r="H18" s="17" t="n">
        <x:v>0</x:v>
      </x:c>
      <x:c r="I18" s="17" t="n">
        <x:v>0</x:v>
      </x:c>
      <x:c r="J18" s="17" t="n">
        <x:v>1</x:v>
      </x:c>
      <x:c r="K18" s="15" t="n">
        <x:v>115742</x:v>
      </x:c>
      <x:c r="L18" s="15" t="n">
        <x:v>38064</x:v>
      </x:c>
      <x:c r="M18" s="15" t="n">
        <x:v>34668</x:v>
      </x:c>
      <x:c r="N18" s="15" t="n">
        <x:v>1</x:v>
      </x:c>
      <x:c r="O18" s="15" t="n">
        <x:v>1</x:v>
      </x:c>
      <x:c r="P18" s="15" t="n">
        <x:v>1</x:v>
      </x:c>
      <x:c r="Q18" s="15" t="n">
        <x:v>1</x:v>
      </x:c>
      <x:c r="R18" s="15" t="n">
        <x:v>1</x:v>
      </x:c>
      <x:c r="S18" s="15" t="n">
        <x:v>1</x:v>
      </x:c>
    </x:row>
    <x:row r="19" ht="24" customHeight="1">
      <x:c r="A19" s="15" t="str">
        <x:v>chronological</x:v>
      </x:c>
      <x:c r="B19" s="15" t="str">
        <x:v>Bot</x:v>
      </x:c>
      <x:c r="C19" s="15" t="n">
        <x:v>0</x:v>
      </x:c>
      <x:c r="D19" s="15" t="n">
        <x:v>0</x:v>
      </x:c>
      <x:c r="E19" s="15" t="n">
        <x:v>1387</x:v>
      </x:c>
      <x:c r="F19" s="15" t="n">
        <x:v>0</x:v>
      </x:c>
      <x:c r="G19" s="17" t="n">
        <x:v>1</x:v>
      </x:c>
      <x:c r="H19" s="17" t="n">
        <x:v>1</x:v>
      </x:c>
      <x:c r="I19" s="17" t="n">
        <x:v>0</x:v>
      </x:c>
      <x:c r="J19" s="17" t="n">
        <x:v>0</x:v>
      </x:c>
      <x:c r="K19" s="15" t="n">
        <x:v>0</x:v>
      </x:c>
      <x:c r="L19" s="15" t="n">
        <x:v>0</x:v>
      </x:c>
      <x:c r="M19" s="15" t="n">
        <x:v>207703</x:v>
      </x:c>
      <x:c r="N19" s="15" t="n">
        <x:v>0</x:v>
      </x:c>
      <x:c r="O19" s="15" t="n">
        <x:v>0</x:v>
      </x:c>
      <x:c r="P19" s="15" t="n">
        <x:v>8</x:v>
      </x:c>
      <x:c r="Q19" s="15" t="n">
        <x:v>0</x:v>
      </x:c>
      <x:c r="R19" s="15" t="n">
        <x:v>0</x:v>
      </x:c>
      <x:c r="S19" s="15" t="n">
        <x:v>1</x:v>
      </x:c>
    </x:row>
    <x:row r="20" ht="24" customHeight="1">
      <x:c r="A20" s="15" t="str">
        <x:v>chronological</x:v>
      </x:c>
      <x:c r="B20" s="15" t="str">
        <x:v>Brute_Force_-Web</x:v>
      </x:c>
      <x:c r="C20" s="15" t="n">
        <x:v>1295</x:v>
      </x:c>
      <x:c r="D20" s="15" t="n">
        <x:v>0</x:v>
      </x:c>
      <x:c r="E20" s="15" t="n">
        <x:v>0</x:v>
      </x:c>
      <x:c r="F20" s="15" t="n">
        <x:v>0</x:v>
      </x:c>
      <x:c r="G20" s="17" t="n">
        <x:v>0</x:v>
      </x:c>
      <x:c r="H20" s="17" t="n">
        <x:v>0</x:v>
      </x:c>
      <x:c r="I20" s="17" t="n">
        <x:v>0</x:v>
      </x:c>
      <x:c r="J20" s="17" t="n">
        <x:v>0</x:v>
      </x:c>
      <x:c r="K20" s="15" t="n">
        <x:v>1618</x:v>
      </x:c>
      <x:c r="L20" s="15" t="n">
        <x:v>0</x:v>
      </x:c>
      <x:c r="M20" s="15" t="n">
        <x:v>0</x:v>
      </x:c>
      <x:c r="N20" s="15" t="n">
        <x:v>561</x:v>
      </x:c>
      <x:c r="O20" s="15" t="n">
        <x:v>0</x:v>
      </x:c>
      <x:c r="P20" s="15" t="n">
        <x:v>0</x:v>
      </x:c>
      <x:c r="Q20" s="15" t="n">
        <x:v>1</x:v>
      </x:c>
      <x:c r="R20" s="15" t="n">
        <x:v>0</x:v>
      </x:c>
      <x:c r="S20" s="15" t="n">
        <x:v>0</x:v>
      </x:c>
    </x:row>
    <x:row r="21" ht="24" customHeight="1">
      <x:c r="A21" s="15" t="str">
        <x:v>chronological</x:v>
      </x:c>
      <x:c r="B21" s="15" t="str">
        <x:v>Brute_Force_-XSS</x:v>
      </x:c>
      <x:c r="C21" s="15" t="n">
        <x:v>442</x:v>
      </x:c>
      <x:c r="D21" s="15" t="n">
        <x:v>0</x:v>
      </x:c>
      <x:c r="E21" s="15" t="n">
        <x:v>0</x:v>
      </x:c>
      <x:c r="F21" s="15" t="n">
        <x:v>0</x:v>
      </x:c>
      <x:c r="G21" s="17" t="n">
        <x:v>0</x:v>
      </x:c>
      <x:c r="H21" s="17" t="n">
        <x:v>0</x:v>
      </x:c>
      <x:c r="I21" s="17" t="n">
        <x:v>0</x:v>
      </x:c>
      <x:c r="J21" s="17" t="n">
        <x:v>0</x:v>
      </x:c>
      <x:c r="K21" s="15" t="n">
        <x:v>480</x:v>
      </x:c>
      <x:c r="L21" s="15" t="n">
        <x:v>0</x:v>
      </x:c>
      <x:c r="M21" s="15" t="n">
        <x:v>0</x:v>
      </x:c>
      <x:c r="N21" s="15" t="n">
        <x:v>4</x:v>
      </x:c>
      <x:c r="O21" s="15" t="n">
        <x:v>0</x:v>
      </x:c>
      <x:c r="P21" s="15" t="n">
        <x:v>0</x:v>
      </x:c>
      <x:c r="Q21" s="15" t="n">
        <x:v>1</x:v>
      </x:c>
      <x:c r="R21" s="15" t="n">
        <x:v>0</x:v>
      </x:c>
      <x:c r="S21" s="15" t="n">
        <x:v>0</x:v>
      </x:c>
    </x:row>
    <x:row r="22" ht="24" customHeight="1">
      <x:c r="A22" s="15" t="str">
        <x:v>chronological</x:v>
      </x:c>
      <x:c r="B22" s="15" t="str">
        <x:v>DDOS_attack-HOIC</x:v>
      </x:c>
      <x:c r="C22" s="15" t="n">
        <x:v>340</x:v>
      </x:c>
      <x:c r="D22" s="15" t="n">
        <x:v>0</x:v>
      </x:c>
      <x:c r="E22" s="15" t="n">
        <x:v>0</x:v>
      </x:c>
      <x:c r="F22" s="15" t="n">
        <x:v>0</x:v>
      </x:c>
      <x:c r="G22" s="17" t="n">
        <x:v>0</x:v>
      </x:c>
      <x:c r="H22" s="17" t="n">
        <x:v>0</x:v>
      </x:c>
      <x:c r="I22" s="17" t="n">
        <x:v>0</x:v>
      </x:c>
      <x:c r="J22" s="17" t="n">
        <x:v>0</x:v>
      </x:c>
      <x:c r="K22" s="15" t="n">
        <x:v>1032311</x:v>
      </x:c>
      <x:c r="L22" s="15" t="n">
        <x:v>0</x:v>
      </x:c>
      <x:c r="M22" s="15" t="n">
        <x:v>0</x:v>
      </x:c>
      <x:c r="N22" s="15" t="n">
        <x:v>10</x:v>
      </x:c>
      <x:c r="O22" s="15" t="n">
        <x:v>0</x:v>
      </x:c>
      <x:c r="P22" s="15" t="n">
        <x:v>0</x:v>
      </x:c>
      <x:c r="Q22" s="15" t="n">
        <x:v>1</x:v>
      </x:c>
      <x:c r="R22" s="15" t="n">
        <x:v>0</x:v>
      </x:c>
      <x:c r="S22" s="15" t="n">
        <x:v>0</x:v>
      </x:c>
    </x:row>
    <x:row r="23" ht="24" customHeight="1">
      <x:c r="A23" s="15" t="str">
        <x:v>chronological</x:v>
      </x:c>
      <x:c r="B23" s="15" t="str">
        <x:v>DDOS_attack-LOIC-UDP</x:v>
      </x:c>
      <x:c r="C23" s="15" t="n">
        <x:v>188</x:v>
      </x:c>
      <x:c r="D23" s="15" t="n">
        <x:v>0</x:v>
      </x:c>
      <x:c r="E23" s="15" t="n">
        <x:v>0</x:v>
      </x:c>
      <x:c r="F23" s="15" t="n">
        <x:v>0</x:v>
      </x:c>
      <x:c r="G23" s="17" t="n">
        <x:v>0</x:v>
      </x:c>
      <x:c r="H23" s="17" t="n">
        <x:v>0</x:v>
      </x:c>
      <x:c r="I23" s="17" t="n">
        <x:v>0</x:v>
      </x:c>
      <x:c r="J23" s="17" t="n">
        <x:v>0</x:v>
      </x:c>
      <x:c r="K23" s="15" t="n">
        <x:v>3450</x:v>
      </x:c>
      <x:c r="L23" s="15" t="n">
        <x:v>0</x:v>
      </x:c>
      <x:c r="M23" s="15" t="n">
        <x:v>0</x:v>
      </x:c>
      <x:c r="N23" s="15" t="n">
        <x:v>10</x:v>
      </x:c>
      <x:c r="O23" s="15" t="n">
        <x:v>0</x:v>
      </x:c>
      <x:c r="P23" s="15" t="n">
        <x:v>0</x:v>
      </x:c>
      <x:c r="Q23" s="15" t="n">
        <x:v>1</x:v>
      </x:c>
      <x:c r="R23" s="15" t="n">
        <x:v>0</x:v>
      </x:c>
      <x:c r="S23" s="15" t="n">
        <x:v>0</x:v>
      </x:c>
    </x:row>
    <x:row r="24" ht="24" customHeight="1">
      <x:c r="A24" s="15" t="str">
        <x:v>chronological</x:v>
      </x:c>
      <x:c r="B24" s="15" t="str">
        <x:v>DDoS_attacks-LOIC-HTTP</x:v>
      </x:c>
      <x:c r="C24" s="15" t="n">
        <x:v>471</x:v>
      </x:c>
      <x:c r="D24" s="15" t="n">
        <x:v>0</x:v>
      </x:c>
      <x:c r="E24" s="15" t="n">
        <x:v>0</x:v>
      </x:c>
      <x:c r="F24" s="15" t="n">
        <x:v>0</x:v>
      </x:c>
      <x:c r="G24" s="17" t="n">
        <x:v>0</x:v>
      </x:c>
      <x:c r="H24" s="17" t="n">
        <x:v>0</x:v>
      </x:c>
      <x:c r="I24" s="17" t="n">
        <x:v>0</x:v>
      </x:c>
      <x:c r="J24" s="17" t="n">
        <x:v>0</x:v>
      </x:c>
      <x:c r="K24" s="15" t="n">
        <x:v>288589</x:v>
      </x:c>
      <x:c r="L24" s="15" t="n">
        <x:v>0</x:v>
      </x:c>
      <x:c r="M24" s="15" t="n">
        <x:v>0</x:v>
      </x:c>
      <x:c r="N24" s="15" t="n">
        <x:v>10</x:v>
      </x:c>
      <x:c r="O24" s="15" t="n">
        <x:v>0</x:v>
      </x:c>
      <x:c r="P24" s="15" t="n">
        <x:v>0</x:v>
      </x:c>
      <x:c r="Q24" s="15" t="n">
        <x:v>3</x:v>
      </x:c>
      <x:c r="R24" s="15" t="n">
        <x:v>0</x:v>
      </x:c>
      <x:c r="S24" s="15" t="n">
        <x:v>0</x:v>
      </x:c>
    </x:row>
    <x:row r="25" ht="24" customHeight="1">
      <x:c r="A25" s="15" t="str">
        <x:v>chronological</x:v>
      </x:c>
      <x:c r="B25" s="15" t="str">
        <x:v>DoS_attacks-GoldenEye</x:v>
      </x:c>
      <x:c r="C25" s="15" t="n">
        <x:v>14</x:v>
      </x:c>
      <x:c r="D25" s="15" t="n">
        <x:v>0</x:v>
      </x:c>
      <x:c r="E25" s="15" t="n">
        <x:v>0</x:v>
      </x:c>
      <x:c r="F25" s="15" t="n">
        <x:v>0</x:v>
      </x:c>
      <x:c r="G25" s="17" t="n">
        <x:v>0</x:v>
      </x:c>
      <x:c r="H25" s="17" t="n">
        <x:v>0</x:v>
      </x:c>
      <x:c r="I25" s="17" t="n">
        <x:v>0</x:v>
      </x:c>
      <x:c r="J25" s="17" t="n">
        <x:v>0</x:v>
      </x:c>
      <x:c r="K25" s="15" t="n">
        <x:v>61300</x:v>
      </x:c>
      <x:c r="L25" s="15" t="n">
        <x:v>0</x:v>
      </x:c>
      <x:c r="M25" s="15" t="n">
        <x:v>0</x:v>
      </x:c>
      <x:c r="N25" s="15" t="n">
        <x:v>1</x:v>
      </x:c>
      <x:c r="O25" s="15" t="n">
        <x:v>0</x:v>
      </x:c>
      <x:c r="P25" s="15" t="n">
        <x:v>0</x:v>
      </x:c>
      <x:c r="Q25" s="15" t="n">
        <x:v>5</x:v>
      </x:c>
      <x:c r="R25" s="15" t="n">
        <x:v>0</x:v>
      </x:c>
      <x:c r="S25" s="15" t="n">
        <x:v>0</x:v>
      </x:c>
    </x:row>
    <x:row r="26" ht="24" customHeight="1">
      <x:c r="A26" s="15" t="str">
        <x:v>chronological</x:v>
      </x:c>
      <x:c r="B26" s="15" t="str">
        <x:v>DoS_attacks-Hulk</x:v>
      </x:c>
      <x:c r="C26" s="15" t="n">
        <x:v>9</x:v>
      </x:c>
      <x:c r="D26" s="15" t="n">
        <x:v>0</x:v>
      </x:c>
      <x:c r="E26" s="15" t="n">
        <x:v>0</x:v>
      </x:c>
      <x:c r="F26" s="15" t="n">
        <x:v>0</x:v>
      </x:c>
      <x:c r="G26" s="17" t="n">
        <x:v>0</x:v>
      </x:c>
      <x:c r="H26" s="17" t="n">
        <x:v>0</x:v>
      </x:c>
      <x:c r="I26" s="17" t="n">
        <x:v>0</x:v>
      </x:c>
      <x:c r="J26" s="17" t="n">
        <x:v>0</x:v>
      </x:c>
      <x:c r="K26" s="15" t="n">
        <x:v>100076</x:v>
      </x:c>
      <x:c r="L26" s="15" t="n">
        <x:v>0</x:v>
      </x:c>
      <x:c r="M26" s="15" t="n">
        <x:v>0</x:v>
      </x:c>
      <x:c r="N26" s="15" t="n">
        <x:v>1</x:v>
      </x:c>
      <x:c r="O26" s="15" t="n">
        <x:v>0</x:v>
      </x:c>
      <x:c r="P26" s="15" t="n">
        <x:v>0</x:v>
      </x:c>
      <x:c r="Q26" s="15" t="n">
        <x:v>1</x:v>
      </x:c>
      <x:c r="R26" s="15" t="n">
        <x:v>0</x:v>
      </x:c>
      <x:c r="S26" s="15" t="n">
        <x:v>0</x:v>
      </x:c>
    </x:row>
    <x:row r="27" ht="24" customHeight="1">
      <x:c r="A27" s="15" t="str">
        <x:v>chronological</x:v>
      </x:c>
      <x:c r="B27" s="15" t="str">
        <x:v>DoS_attacks-SlowHTTPTest</x:v>
      </x:c>
      <x:c r="C27" s="15" t="n">
        <x:v>33</x:v>
      </x:c>
      <x:c r="D27" s="15" t="n">
        <x:v>0</x:v>
      </x:c>
      <x:c r="E27" s="15" t="n">
        <x:v>0</x:v>
      </x:c>
      <x:c r="F27" s="15" t="n">
        <x:v>0</x:v>
      </x:c>
      <x:c r="G27" s="17" t="n">
        <x:v>0</x:v>
      </x:c>
      <x:c r="H27" s="17" t="n">
        <x:v>0</x:v>
      </x:c>
      <x:c r="I27" s="17" t="n">
        <x:v>0</x:v>
      </x:c>
      <x:c r="J27" s="17" t="n">
        <x:v>0</x:v>
      </x:c>
      <x:c r="K27" s="15" t="n">
        <x:v>105550</x:v>
      </x:c>
      <x:c r="L27" s="15" t="n">
        <x:v>0</x:v>
      </x:c>
      <x:c r="M27" s="15" t="n">
        <x:v>0</x:v>
      </x:c>
      <x:c r="N27" s="15" t="n">
        <x:v>1</x:v>
      </x:c>
      <x:c r="O27" s="15" t="n">
        <x:v>0</x:v>
      </x:c>
      <x:c r="P27" s="15" t="n">
        <x:v>0</x:v>
      </x:c>
      <x:c r="Q27" s="15" t="n">
        <x:v>1</x:v>
      </x:c>
      <x:c r="R27" s="15" t="n">
        <x:v>0</x:v>
      </x:c>
      <x:c r="S27" s="15" t="n">
        <x:v>0</x:v>
      </x:c>
    </x:row>
    <x:row r="28" ht="24" customHeight="1">
      <x:c r="A28" s="15" t="str">
        <x:v>chronological</x:v>
      </x:c>
      <x:c r="B28" s="15" t="str">
        <x:v>DoS_attacks-Slowloris</x:v>
      </x:c>
      <x:c r="C28" s="15" t="n">
        <x:v>25</x:v>
      </x:c>
      <x:c r="D28" s="15" t="n">
        <x:v>0</x:v>
      </x:c>
      <x:c r="E28" s="15" t="n">
        <x:v>0</x:v>
      </x:c>
      <x:c r="F28" s="15" t="n">
        <x:v>0</x:v>
      </x:c>
      <x:c r="G28" s="17" t="n">
        <x:v>0</x:v>
      </x:c>
      <x:c r="H28" s="17" t="n">
        <x:v>0</x:v>
      </x:c>
      <x:c r="I28" s="17" t="n">
        <x:v>0</x:v>
      </x:c>
      <x:c r="J28" s="17" t="n">
        <x:v>0</x:v>
      </x:c>
      <x:c r="K28" s="15" t="n">
        <x:v>36040</x:v>
      </x:c>
      <x:c r="L28" s="15" t="n">
        <x:v>0</x:v>
      </x:c>
      <x:c r="M28" s="15" t="n">
        <x:v>0</x:v>
      </x:c>
      <x:c r="N28" s="15" t="n">
        <x:v>1</x:v>
      </x:c>
      <x:c r="O28" s="15" t="n">
        <x:v>0</x:v>
      </x:c>
      <x:c r="P28" s="15" t="n">
        <x:v>0</x:v>
      </x:c>
      <x:c r="Q28" s="15" t="n">
        <x:v>1</x:v>
      </x:c>
      <x:c r="R28" s="15" t="n">
        <x:v>0</x:v>
      </x:c>
      <x:c r="S28" s="15" t="n">
        <x:v>0</x:v>
      </x:c>
    </x:row>
    <x:row r="29" ht="24" customHeight="1">
      <x:c r="A29" s="15" t="str">
        <x:v>chronological</x:v>
      </x:c>
      <x:c r="B29" s="15" t="str">
        <x:v>FTP-BruteForce</x:v>
      </x:c>
      <x:c r="C29" s="15" t="n">
        <x:v>59</x:v>
      </x:c>
      <x:c r="D29" s="15" t="n">
        <x:v>0</x:v>
      </x:c>
      <x:c r="E29" s="15" t="n">
        <x:v>0</x:v>
      </x:c>
      <x:c r="F29" s="15" t="n">
        <x:v>0</x:v>
      </x:c>
      <x:c r="G29" s="17" t="n">
        <x:v>0</x:v>
      </x:c>
      <x:c r="H29" s="17" t="n">
        <x:v>0</x:v>
      </x:c>
      <x:c r="I29" s="17" t="n">
        <x:v>0</x:v>
      </x:c>
      <x:c r="J29" s="17" t="n">
        <x:v>0</x:v>
      </x:c>
      <x:c r="K29" s="15" t="n">
        <x:v>386720</x:v>
      </x:c>
      <x:c r="L29" s="15" t="n">
        <x:v>0</x:v>
      </x:c>
      <x:c r="M29" s="15" t="n">
        <x:v>0</x:v>
      </x:c>
      <x:c r="N29" s="15" t="n">
        <x:v>1</x:v>
      </x:c>
      <x:c r="O29" s="15" t="n">
        <x:v>0</x:v>
      </x:c>
      <x:c r="P29" s="15" t="n">
        <x:v>0</x:v>
      </x:c>
      <x:c r="Q29" s="15" t="n">
        <x:v>1</x:v>
      </x:c>
      <x:c r="R29" s="15" t="n">
        <x:v>0</x:v>
      </x:c>
      <x:c r="S29" s="15" t="n">
        <x:v>0</x:v>
      </x:c>
    </x:row>
    <x:row r="30" ht="24" customHeight="1">
      <x:c r="A30" s="15" t="str">
        <x:v>chronological</x:v>
      </x:c>
      <x:c r="B30" s="15" t="str">
        <x:v>Infilteration</x:v>
      </x:c>
      <x:c r="C30" s="15" t="n">
        <x:v>0</x:v>
      </x:c>
      <x:c r="D30" s="15" t="n">
        <x:v>3396</x:v>
      </x:c>
      <x:c r="E30" s="15" t="n">
        <x:v>3218</x:v>
      </x:c>
      <x:c r="F30" s="15" t="n">
        <x:v>20</x:v>
      </x:c>
      <x:c r="G30" s="17" t="n">
        <x:v>1</x:v>
      </x:c>
      <x:c r="H30" s="17" t="n">
        <x:v>0</x:v>
      </x:c>
      <x:c r="I30" s="17" t="n">
        <x:v>1</x:v>
      </x:c>
      <x:c r="J30" s="17" t="n">
        <x:v>0</x:v>
      </x:c>
      <x:c r="K30" s="15" t="n">
        <x:v>0</x:v>
      </x:c>
      <x:c r="L30" s="15" t="n">
        <x:v>86133</x:v>
      </x:c>
      <x:c r="M30" s="15" t="n">
        <x:v>101809</x:v>
      </x:c>
      <x:c r="N30" s="15" t="n">
        <x:v>0</x:v>
      </x:c>
      <x:c r="O30" s="15" t="n">
        <x:v>294</x:v>
      </x:c>
      <x:c r="P30" s="15" t="n">
        <x:v>379</x:v>
      </x:c>
      <x:c r="Q30" s="15" t="n">
        <x:v>0</x:v>
      </x:c>
      <x:c r="R30" s="15" t="n">
        <x:v>2</x:v>
      </x:c>
      <x:c r="S30" s="15" t="n">
        <x:v>2</x:v>
      </x:c>
    </x:row>
    <x:row r="31" ht="24" customHeight="1">
      <x:c r="A31" s="15" t="str">
        <x:v>chronological</x:v>
      </x:c>
      <x:c r="B31" s="15" t="str">
        <x:v>SQL_Injection</x:v>
      </x:c>
      <x:c r="C31" s="15" t="n">
        <x:v>388</x:v>
      </x:c>
      <x:c r="D31" s="15" t="n">
        <x:v>0</x:v>
      </x:c>
      <x:c r="E31" s="15" t="n">
        <x:v>0</x:v>
      </x:c>
      <x:c r="F31" s="15" t="n">
        <x:v>0</x:v>
      </x:c>
      <x:c r="G31" s="17" t="n">
        <x:v>0</x:v>
      </x:c>
      <x:c r="H31" s="17" t="n">
        <x:v>0</x:v>
      </x:c>
      <x:c r="I31" s="17" t="n">
        <x:v>0</x:v>
      </x:c>
      <x:c r="J31" s="17" t="n">
        <x:v>0</x:v>
      </x:c>
      <x:c r="K31" s="15" t="n">
        <x:v>440</x:v>
      </x:c>
      <x:c r="L31" s="15" t="n">
        <x:v>0</x:v>
      </x:c>
      <x:c r="M31" s="15" t="n">
        <x:v>0</x:v>
      </x:c>
      <x:c r="N31" s="15" t="n">
        <x:v>4</x:v>
      </x:c>
      <x:c r="O31" s="15" t="n">
        <x:v>0</x:v>
      </x:c>
      <x:c r="P31" s="15" t="n">
        <x:v>0</x:v>
      </x:c>
      <x:c r="Q31" s="15" t="n">
        <x:v>1</x:v>
      </x:c>
      <x:c r="R31" s="15" t="n">
        <x:v>0</x:v>
      </x:c>
      <x:c r="S31" s="15" t="n">
        <x:v>0</x:v>
      </x:c>
    </x:row>
    <x:row r="32" ht="24" customHeight="1">
      <x:c r="A32" s="15" t="str">
        <x:v>chronological</x:v>
      </x:c>
      <x:c r="B32" s="15" t="str">
        <x:v>SSH-Bruteforce</x:v>
      </x:c>
      <x:c r="C32" s="15" t="n">
        <x:v>56</x:v>
      </x:c>
      <x:c r="D32" s="15" t="n">
        <x:v>0</x:v>
      </x:c>
      <x:c r="E32" s="15" t="n">
        <x:v>0</x:v>
      </x:c>
      <x:c r="F32" s="15" t="n">
        <x:v>0</x:v>
      </x:c>
      <x:c r="G32" s="17" t="n">
        <x:v>0</x:v>
      </x:c>
      <x:c r="H32" s="17" t="n">
        <x:v>0</x:v>
      </x:c>
      <x:c r="I32" s="17" t="n">
        <x:v>0</x:v>
      </x:c>
      <x:c r="J32" s="17" t="n">
        <x:v>0</x:v>
      </x:c>
      <x:c r="K32" s="15" t="n">
        <x:v>188474</x:v>
      </x:c>
      <x:c r="L32" s="15" t="n">
        <x:v>0</x:v>
      </x:c>
      <x:c r="M32" s="15" t="n">
        <x:v>0</x:v>
      </x:c>
      <x:c r="N32" s="15" t="n">
        <x:v>1</x:v>
      </x:c>
      <x:c r="O32" s="15" t="n">
        <x:v>0</x:v>
      </x:c>
      <x:c r="P32" s="15" t="n">
        <x:v>0</x:v>
      </x:c>
      <x:c r="Q32" s="15" t="n">
        <x:v>1</x:v>
      </x:c>
      <x:c r="R32" s="15" t="n">
        <x:v>0</x:v>
      </x:c>
      <x:c r="S32" s="15" t="n">
        <x:v>0</x:v>
      </x:c>
    </x:row>
    <x:row r="33" ht="24" customHeight="1">
      <x:c r="A33" s="15" t="str">
        <x:v>day_chronological</x:v>
      </x:c>
      <x:c r="B33" s="15" t="str">
        <x:v>Bot</x:v>
      </x:c>
      <x:c r="C33" s="15" t="n">
        <x:v>0</x:v>
      </x:c>
      <x:c r="D33" s="15" t="n">
        <x:v>0</x:v>
      </x:c>
      <x:c r="E33" s="15" t="n">
        <x:v>1387</x:v>
      </x:c>
      <x:c r="F33" s="15" t="n">
        <x:v>0</x:v>
      </x:c>
      <x:c r="G33" s="17" t="n">
        <x:v>1</x:v>
      </x:c>
      <x:c r="H33" s="17" t="n">
        <x:v>1</x:v>
      </x:c>
      <x:c r="I33" s="17" t="n">
        <x:v>0</x:v>
      </x:c>
      <x:c r="J33" s="17" t="n">
        <x:v>0</x:v>
      </x:c>
      <x:c r="K33" s="15" t="n">
        <x:v>0</x:v>
      </x:c>
      <x:c r="L33" s="15" t="n">
        <x:v>0</x:v>
      </x:c>
      <x:c r="M33" s="15" t="n">
        <x:v>207703</x:v>
      </x:c>
      <x:c r="N33" s="15" t="n">
        <x:v>0</x:v>
      </x:c>
      <x:c r="O33" s="15" t="n">
        <x:v>0</x:v>
      </x:c>
      <x:c r="P33" s="15" t="n">
        <x:v>8</x:v>
      </x:c>
      <x:c r="Q33" s="15" t="n">
        <x:v>0</x:v>
      </x:c>
      <x:c r="R33" s="15" t="n">
        <x:v>0</x:v>
      </x:c>
      <x:c r="S33" s="15" t="n">
        <x:v>1</x:v>
      </x:c>
    </x:row>
    <x:row r="34" ht="24" customHeight="1">
      <x:c r="A34" s="15" t="str">
        <x:v>day_chronological</x:v>
      </x:c>
      <x:c r="B34" s="15" t="str">
        <x:v>Brute_Force_-Web</x:v>
      </x:c>
      <x:c r="C34" s="15" t="n">
        <x:v>1295</x:v>
      </x:c>
      <x:c r="D34" s="15" t="n">
        <x:v>0</x:v>
      </x:c>
      <x:c r="E34" s="15" t="n">
        <x:v>0</x:v>
      </x:c>
      <x:c r="F34" s="15" t="n">
        <x:v>0</x:v>
      </x:c>
      <x:c r="G34" s="17" t="n">
        <x:v>0</x:v>
      </x:c>
      <x:c r="H34" s="17" t="n">
        <x:v>0</x:v>
      </x:c>
      <x:c r="I34" s="17" t="n">
        <x:v>0</x:v>
      </x:c>
      <x:c r="J34" s="17" t="n">
        <x:v>0</x:v>
      </x:c>
      <x:c r="K34" s="15" t="n">
        <x:v>1618</x:v>
      </x:c>
      <x:c r="L34" s="15" t="n">
        <x:v>0</x:v>
      </x:c>
      <x:c r="M34" s="15" t="n">
        <x:v>0</x:v>
      </x:c>
      <x:c r="N34" s="15" t="n">
        <x:v>561</x:v>
      </x:c>
      <x:c r="O34" s="15" t="n">
        <x:v>0</x:v>
      </x:c>
      <x:c r="P34" s="15" t="n">
        <x:v>0</x:v>
      </x:c>
      <x:c r="Q34" s="15" t="n">
        <x:v>1</x:v>
      </x:c>
      <x:c r="R34" s="15" t="n">
        <x:v>0</x:v>
      </x:c>
      <x:c r="S34" s="15" t="n">
        <x:v>0</x:v>
      </x:c>
    </x:row>
    <x:row r="35" ht="24" customHeight="1">
      <x:c r="A35" s="15" t="str">
        <x:v>day_chronological</x:v>
      </x:c>
      <x:c r="B35" s="15" t="str">
        <x:v>Brute_Force_-XSS</x:v>
      </x:c>
      <x:c r="C35" s="15" t="n">
        <x:v>442</x:v>
      </x:c>
      <x:c r="D35" s="15" t="n">
        <x:v>0</x:v>
      </x:c>
      <x:c r="E35" s="15" t="n">
        <x:v>0</x:v>
      </x:c>
      <x:c r="F35" s="15" t="n">
        <x:v>0</x:v>
      </x:c>
      <x:c r="G35" s="17" t="n">
        <x:v>0</x:v>
      </x:c>
      <x:c r="H35" s="17" t="n">
        <x:v>0</x:v>
      </x:c>
      <x:c r="I35" s="17" t="n">
        <x:v>0</x:v>
      </x:c>
      <x:c r="J35" s="17" t="n">
        <x:v>0</x:v>
      </x:c>
      <x:c r="K35" s="15" t="n">
        <x:v>480</x:v>
      </x:c>
      <x:c r="L35" s="15" t="n">
        <x:v>0</x:v>
      </x:c>
      <x:c r="M35" s="15" t="n">
        <x:v>0</x:v>
      </x:c>
      <x:c r="N35" s="15" t="n">
        <x:v>4</x:v>
      </x:c>
      <x:c r="O35" s="15" t="n">
        <x:v>0</x:v>
      </x:c>
      <x:c r="P35" s="15" t="n">
        <x:v>0</x:v>
      </x:c>
      <x:c r="Q35" s="15" t="n">
        <x:v>1</x:v>
      </x:c>
      <x:c r="R35" s="15" t="n">
        <x:v>0</x:v>
      </x:c>
      <x:c r="S35" s="15" t="n">
        <x:v>0</x:v>
      </x:c>
    </x:row>
    <x:row r="36" ht="24" customHeight="1">
      <x:c r="A36" s="15" t="str">
        <x:v>day_chronological</x:v>
      </x:c>
      <x:c r="B36" s="15" t="str">
        <x:v>DDOS_attack-HOIC</x:v>
      </x:c>
      <x:c r="C36" s="15" t="n">
        <x:v>340</x:v>
      </x:c>
      <x:c r="D36" s="15" t="n">
        <x:v>0</x:v>
      </x:c>
      <x:c r="E36" s="15" t="n">
        <x:v>0</x:v>
      </x:c>
      <x:c r="F36" s="15" t="n">
        <x:v>0</x:v>
      </x:c>
      <x:c r="G36" s="17" t="n">
        <x:v>0</x:v>
      </x:c>
      <x:c r="H36" s="17" t="n">
        <x:v>0</x:v>
      </x:c>
      <x:c r="I36" s="17" t="n">
        <x:v>0</x:v>
      </x:c>
      <x:c r="J36" s="17" t="n">
        <x:v>0</x:v>
      </x:c>
      <x:c r="K36" s="15" t="n">
        <x:v>1032311</x:v>
      </x:c>
      <x:c r="L36" s="15" t="n">
        <x:v>0</x:v>
      </x:c>
      <x:c r="M36" s="15" t="n">
        <x:v>0</x:v>
      </x:c>
      <x:c r="N36" s="15" t="n">
        <x:v>10</x:v>
      </x:c>
      <x:c r="O36" s="15" t="n">
        <x:v>0</x:v>
      </x:c>
      <x:c r="P36" s="15" t="n">
        <x:v>0</x:v>
      </x:c>
      <x:c r="Q36" s="15" t="n">
        <x:v>1</x:v>
      </x:c>
      <x:c r="R36" s="15" t="n">
        <x:v>0</x:v>
      </x:c>
      <x:c r="S36" s="15" t="n">
        <x:v>0</x:v>
      </x:c>
    </x:row>
    <x:row r="37" ht="24" customHeight="1">
      <x:c r="A37" s="15" t="str">
        <x:v>day_chronological</x:v>
      </x:c>
      <x:c r="B37" s="15" t="str">
        <x:v>DDOS_attack-LOIC-UDP</x:v>
      </x:c>
      <x:c r="C37" s="15" t="n">
        <x:v>188</x:v>
      </x:c>
      <x:c r="D37" s="15" t="n">
        <x:v>0</x:v>
      </x:c>
      <x:c r="E37" s="15" t="n">
        <x:v>0</x:v>
      </x:c>
      <x:c r="F37" s="15" t="n">
        <x:v>0</x:v>
      </x:c>
      <x:c r="G37" s="17" t="n">
        <x:v>0</x:v>
      </x:c>
      <x:c r="H37" s="17" t="n">
        <x:v>0</x:v>
      </x:c>
      <x:c r="I37" s="17" t="n">
        <x:v>0</x:v>
      </x:c>
      <x:c r="J37" s="17" t="n">
        <x:v>0</x:v>
      </x:c>
      <x:c r="K37" s="15" t="n">
        <x:v>3450</x:v>
      </x:c>
      <x:c r="L37" s="15" t="n">
        <x:v>0</x:v>
      </x:c>
      <x:c r="M37" s="15" t="n">
        <x:v>0</x:v>
      </x:c>
      <x:c r="N37" s="15" t="n">
        <x:v>10</x:v>
      </x:c>
      <x:c r="O37" s="15" t="n">
        <x:v>0</x:v>
      </x:c>
      <x:c r="P37" s="15" t="n">
        <x:v>0</x:v>
      </x:c>
      <x:c r="Q37" s="15" t="n">
        <x:v>1</x:v>
      </x:c>
      <x:c r="R37" s="15" t="n">
        <x:v>0</x:v>
      </x:c>
      <x:c r="S37" s="15" t="n">
        <x:v>0</x:v>
      </x:c>
    </x:row>
    <x:row r="38" ht="24" customHeight="1">
      <x:c r="A38" s="15" t="str">
        <x:v>day_chronological</x:v>
      </x:c>
      <x:c r="B38" s="15" t="str">
        <x:v>DDoS_attacks-LOIC-HTTP</x:v>
      </x:c>
      <x:c r="C38" s="15" t="n">
        <x:v>471</x:v>
      </x:c>
      <x:c r="D38" s="15" t="n">
        <x:v>0</x:v>
      </x:c>
      <x:c r="E38" s="15" t="n">
        <x:v>0</x:v>
      </x:c>
      <x:c r="F38" s="15" t="n">
        <x:v>0</x:v>
      </x:c>
      <x:c r="G38" s="17" t="n">
        <x:v>0</x:v>
      </x:c>
      <x:c r="H38" s="17" t="n">
        <x:v>0</x:v>
      </x:c>
      <x:c r="I38" s="17" t="n">
        <x:v>0</x:v>
      </x:c>
      <x:c r="J38" s="17" t="n">
        <x:v>0</x:v>
      </x:c>
      <x:c r="K38" s="15" t="n">
        <x:v>288589</x:v>
      </x:c>
      <x:c r="L38" s="15" t="n">
        <x:v>0</x:v>
      </x:c>
      <x:c r="M38" s="15" t="n">
        <x:v>0</x:v>
      </x:c>
      <x:c r="N38" s="15" t="n">
        <x:v>10</x:v>
      </x:c>
      <x:c r="O38" s="15" t="n">
        <x:v>0</x:v>
      </x:c>
      <x:c r="P38" s="15" t="n">
        <x:v>0</x:v>
      </x:c>
      <x:c r="Q38" s="15" t="n">
        <x:v>3</x:v>
      </x:c>
      <x:c r="R38" s="15" t="n">
        <x:v>0</x:v>
      </x:c>
      <x:c r="S38" s="15" t="n">
        <x:v>0</x:v>
      </x:c>
    </x:row>
    <x:row r="39" ht="24" customHeight="1">
      <x:c r="A39" s="15" t="str">
        <x:v>day_chronological</x:v>
      </x:c>
      <x:c r="B39" s="15" t="str">
        <x:v>DoS_attacks-GoldenEye</x:v>
      </x:c>
      <x:c r="C39" s="15" t="n">
        <x:v>14</x:v>
      </x:c>
      <x:c r="D39" s="15" t="n">
        <x:v>0</x:v>
      </x:c>
      <x:c r="E39" s="15" t="n">
        <x:v>0</x:v>
      </x:c>
      <x:c r="F39" s="15" t="n">
        <x:v>0</x:v>
      </x:c>
      <x:c r="G39" s="17" t="n">
        <x:v>0</x:v>
      </x:c>
      <x:c r="H39" s="17" t="n">
        <x:v>0</x:v>
      </x:c>
      <x:c r="I39" s="17" t="n">
        <x:v>0</x:v>
      </x:c>
      <x:c r="J39" s="17" t="n">
        <x:v>0</x:v>
      </x:c>
      <x:c r="K39" s="15" t="n">
        <x:v>61300</x:v>
      </x:c>
      <x:c r="L39" s="15" t="n">
        <x:v>0</x:v>
      </x:c>
      <x:c r="M39" s="15" t="n">
        <x:v>0</x:v>
      </x:c>
      <x:c r="N39" s="15" t="n">
        <x:v>1</x:v>
      </x:c>
      <x:c r="O39" s="15" t="n">
        <x:v>0</x:v>
      </x:c>
      <x:c r="P39" s="15" t="n">
        <x:v>0</x:v>
      </x:c>
      <x:c r="Q39" s="15" t="n">
        <x:v>5</x:v>
      </x:c>
      <x:c r="R39" s="15" t="n">
        <x:v>0</x:v>
      </x:c>
      <x:c r="S39" s="15" t="n">
        <x:v>0</x:v>
      </x:c>
    </x:row>
    <x:row r="40" ht="24" customHeight="1">
      <x:c r="A40" s="15" t="str">
        <x:v>day_chronological</x:v>
      </x:c>
      <x:c r="B40" s="15" t="str">
        <x:v>DoS_attacks-Hulk</x:v>
      </x:c>
      <x:c r="C40" s="15" t="n">
        <x:v>9</x:v>
      </x:c>
      <x:c r="D40" s="15" t="n">
        <x:v>0</x:v>
      </x:c>
      <x:c r="E40" s="15" t="n">
        <x:v>0</x:v>
      </x:c>
      <x:c r="F40" s="15" t="n">
        <x:v>0</x:v>
      </x:c>
      <x:c r="G40" s="17" t="n">
        <x:v>0</x:v>
      </x:c>
      <x:c r="H40" s="17" t="n">
        <x:v>0</x:v>
      </x:c>
      <x:c r="I40" s="17" t="n">
        <x:v>0</x:v>
      </x:c>
      <x:c r="J40" s="17" t="n">
        <x:v>0</x:v>
      </x:c>
      <x:c r="K40" s="15" t="n">
        <x:v>100076</x:v>
      </x:c>
      <x:c r="L40" s="15" t="n">
        <x:v>0</x:v>
      </x:c>
      <x:c r="M40" s="15" t="n">
        <x:v>0</x:v>
      </x:c>
      <x:c r="N40" s="15" t="n">
        <x:v>1</x:v>
      </x:c>
      <x:c r="O40" s="15" t="n">
        <x:v>0</x:v>
      </x:c>
      <x:c r="P40" s="15" t="n">
        <x:v>0</x:v>
      </x:c>
      <x:c r="Q40" s="15" t="n">
        <x:v>1</x:v>
      </x:c>
      <x:c r="R40" s="15" t="n">
        <x:v>0</x:v>
      </x:c>
      <x:c r="S40" s="15" t="n">
        <x:v>0</x:v>
      </x:c>
    </x:row>
    <x:row r="41" ht="24" customHeight="1">
      <x:c r="A41" s="15" t="str">
        <x:v>day_chronological</x:v>
      </x:c>
      <x:c r="B41" s="15" t="str">
        <x:v>DoS_attacks-SlowHTTPTest</x:v>
      </x:c>
      <x:c r="C41" s="15" t="n">
        <x:v>33</x:v>
      </x:c>
      <x:c r="D41" s="15" t="n">
        <x:v>0</x:v>
      </x:c>
      <x:c r="E41" s="15" t="n">
        <x:v>0</x:v>
      </x:c>
      <x:c r="F41" s="15" t="n">
        <x:v>0</x:v>
      </x:c>
      <x:c r="G41" s="17" t="n">
        <x:v>0</x:v>
      </x:c>
      <x:c r="H41" s="17" t="n">
        <x:v>0</x:v>
      </x:c>
      <x:c r="I41" s="17" t="n">
        <x:v>0</x:v>
      </x:c>
      <x:c r="J41" s="17" t="n">
        <x:v>0</x:v>
      </x:c>
      <x:c r="K41" s="15" t="n">
        <x:v>105550</x:v>
      </x:c>
      <x:c r="L41" s="15" t="n">
        <x:v>0</x:v>
      </x:c>
      <x:c r="M41" s="15" t="n">
        <x:v>0</x:v>
      </x:c>
      <x:c r="N41" s="15" t="n">
        <x:v>1</x:v>
      </x:c>
      <x:c r="O41" s="15" t="n">
        <x:v>0</x:v>
      </x:c>
      <x:c r="P41" s="15" t="n">
        <x:v>0</x:v>
      </x:c>
      <x:c r="Q41" s="15" t="n">
        <x:v>1</x:v>
      </x:c>
      <x:c r="R41" s="15" t="n">
        <x:v>0</x:v>
      </x:c>
      <x:c r="S41" s="15" t="n">
        <x:v>0</x:v>
      </x:c>
    </x:row>
    <x:row r="42" ht="24" customHeight="1">
      <x:c r="A42" s="15" t="str">
        <x:v>day_chronological</x:v>
      </x:c>
      <x:c r="B42" s="15" t="str">
        <x:v>DoS_attacks-Slowloris</x:v>
      </x:c>
      <x:c r="C42" s="15" t="n">
        <x:v>25</x:v>
      </x:c>
      <x:c r="D42" s="15" t="n">
        <x:v>0</x:v>
      </x:c>
      <x:c r="E42" s="15" t="n">
        <x:v>0</x:v>
      </x:c>
      <x:c r="F42" s="15" t="n">
        <x:v>0</x:v>
      </x:c>
      <x:c r="G42" s="17" t="n">
        <x:v>0</x:v>
      </x:c>
      <x:c r="H42" s="17" t="n">
        <x:v>0</x:v>
      </x:c>
      <x:c r="I42" s="17" t="n">
        <x:v>0</x:v>
      </x:c>
      <x:c r="J42" s="17" t="n">
        <x:v>0</x:v>
      </x:c>
      <x:c r="K42" s="15" t="n">
        <x:v>36040</x:v>
      </x:c>
      <x:c r="L42" s="15" t="n">
        <x:v>0</x:v>
      </x:c>
      <x:c r="M42" s="15" t="n">
        <x:v>0</x:v>
      </x:c>
      <x:c r="N42" s="15" t="n">
        <x:v>1</x:v>
      </x:c>
      <x:c r="O42" s="15" t="n">
        <x:v>0</x:v>
      </x:c>
      <x:c r="P42" s="15" t="n">
        <x:v>0</x:v>
      </x:c>
      <x:c r="Q42" s="15" t="n">
        <x:v>1</x:v>
      </x:c>
      <x:c r="R42" s="15" t="n">
        <x:v>0</x:v>
      </x:c>
      <x:c r="S42" s="15" t="n">
        <x:v>0</x:v>
      </x:c>
    </x:row>
    <x:row r="43" ht="24" customHeight="1">
      <x:c r="A43" s="15" t="str">
        <x:v>day_chronological</x:v>
      </x:c>
      <x:c r="B43" s="15" t="str">
        <x:v>FTP-BruteForce</x:v>
      </x:c>
      <x:c r="C43" s="15" t="n">
        <x:v>59</x:v>
      </x:c>
      <x:c r="D43" s="15" t="n">
        <x:v>0</x:v>
      </x:c>
      <x:c r="E43" s="15" t="n">
        <x:v>0</x:v>
      </x:c>
      <x:c r="F43" s="15" t="n">
        <x:v>0</x:v>
      </x:c>
      <x:c r="G43" s="17" t="n">
        <x:v>0</x:v>
      </x:c>
      <x:c r="H43" s="17" t="n">
        <x:v>0</x:v>
      </x:c>
      <x:c r="I43" s="17" t="n">
        <x:v>0</x:v>
      </x:c>
      <x:c r="J43" s="17" t="n">
        <x:v>0</x:v>
      </x:c>
      <x:c r="K43" s="15" t="n">
        <x:v>386720</x:v>
      </x:c>
      <x:c r="L43" s="15" t="n">
        <x:v>0</x:v>
      </x:c>
      <x:c r="M43" s="15" t="n">
        <x:v>0</x:v>
      </x:c>
      <x:c r="N43" s="15" t="n">
        <x:v>1</x:v>
      </x:c>
      <x:c r="O43" s="15" t="n">
        <x:v>0</x:v>
      </x:c>
      <x:c r="P43" s="15" t="n">
        <x:v>0</x:v>
      </x:c>
      <x:c r="Q43" s="15" t="n">
        <x:v>1</x:v>
      </x:c>
      <x:c r="R43" s="15" t="n">
        <x:v>0</x:v>
      </x:c>
      <x:c r="S43" s="15" t="n">
        <x:v>0</x:v>
      </x:c>
    </x:row>
    <x:row r="44" ht="24" customHeight="1">
      <x:c r="A44" s="15" t="str">
        <x:v>day_chronological</x:v>
      </x:c>
      <x:c r="B44" s="15" t="str">
        <x:v>Infilteration</x:v>
      </x:c>
      <x:c r="C44" s="15" t="n">
        <x:v>0</x:v>
      </x:c>
      <x:c r="D44" s="15" t="n">
        <x:v>3261</x:v>
      </x:c>
      <x:c r="E44" s="15" t="n">
        <x:v>3373</x:v>
      </x:c>
      <x:c r="F44" s="15" t="n">
        <x:v>0</x:v>
      </x:c>
      <x:c r="G44" s="17" t="n">
        <x:v>1</x:v>
      </x:c>
      <x:c r="H44" s="17" t="n">
        <x:v>0</x:v>
      </x:c>
      <x:c r="I44" s="17" t="n">
        <x:v>1</x:v>
      </x:c>
      <x:c r="J44" s="17" t="n">
        <x:v>0</x:v>
      </x:c>
      <x:c r="K44" s="15" t="n">
        <x:v>0</x:v>
      </x:c>
      <x:c r="L44" s="15" t="n">
        <x:v>84327</x:v>
      </x:c>
      <x:c r="M44" s="15" t="n">
        <x:v>103825</x:v>
      </x:c>
      <x:c r="N44" s="15" t="n">
        <x:v>0</x:v>
      </x:c>
      <x:c r="O44" s="15" t="n">
        <x:v>294</x:v>
      </x:c>
      <x:c r="P44" s="15" t="n">
        <x:v>380</x:v>
      </x:c>
      <x:c r="Q44" s="15" t="n">
        <x:v>0</x:v>
      </x:c>
      <x:c r="R44" s="15" t="n">
        <x:v>1</x:v>
      </x:c>
      <x:c r="S44" s="15" t="n">
        <x:v>2</x:v>
      </x:c>
    </x:row>
    <x:row r="45" ht="24" customHeight="1">
      <x:c r="A45" s="15" t="str">
        <x:v>day_chronological</x:v>
      </x:c>
      <x:c r="B45" s="15" t="str">
        <x:v>SQL_Injection</x:v>
      </x:c>
      <x:c r="C45" s="15" t="n">
        <x:v>388</x:v>
      </x:c>
      <x:c r="D45" s="15" t="n">
        <x:v>0</x:v>
      </x:c>
      <x:c r="E45" s="15" t="n">
        <x:v>0</x:v>
      </x:c>
      <x:c r="F45" s="15" t="n">
        <x:v>0</x:v>
      </x:c>
      <x:c r="G45" s="17" t="n">
        <x:v>0</x:v>
      </x:c>
      <x:c r="H45" s="17" t="n">
        <x:v>0</x:v>
      </x:c>
      <x:c r="I45" s="17" t="n">
        <x:v>0</x:v>
      </x:c>
      <x:c r="J45" s="17" t="n">
        <x:v>0</x:v>
      </x:c>
      <x:c r="K45" s="15" t="n">
        <x:v>440</x:v>
      </x:c>
      <x:c r="L45" s="15" t="n">
        <x:v>0</x:v>
      </x:c>
      <x:c r="M45" s="15" t="n">
        <x:v>0</x:v>
      </x:c>
      <x:c r="N45" s="15" t="n">
        <x:v>4</x:v>
      </x:c>
      <x:c r="O45" s="15" t="n">
        <x:v>0</x:v>
      </x:c>
      <x:c r="P45" s="15" t="n">
        <x:v>0</x:v>
      </x:c>
      <x:c r="Q45" s="15" t="n">
        <x:v>1</x:v>
      </x:c>
      <x:c r="R45" s="15" t="n">
        <x:v>0</x:v>
      </x:c>
      <x:c r="S45" s="15" t="n">
        <x:v>0</x:v>
      </x:c>
    </x:row>
    <x:row r="46" ht="24" customHeight="1">
      <x:c r="A46" s="15" t="str">
        <x:v>day_chronological</x:v>
      </x:c>
      <x:c r="B46" s="15" t="str">
        <x:v>SSH-Bruteforce</x:v>
      </x:c>
      <x:c r="C46" s="15" t="n">
        <x:v>56</x:v>
      </x:c>
      <x:c r="D46" s="15" t="n">
        <x:v>0</x:v>
      </x:c>
      <x:c r="E46" s="15" t="n">
        <x:v>0</x:v>
      </x:c>
      <x:c r="F46" s="15" t="n">
        <x:v>0</x:v>
      </x:c>
      <x:c r="G46" s="17" t="n">
        <x:v>0</x:v>
      </x:c>
      <x:c r="H46" s="17" t="n">
        <x:v>0</x:v>
      </x:c>
      <x:c r="I46" s="17" t="n">
        <x:v>0</x:v>
      </x:c>
      <x:c r="J46" s="17" t="n">
        <x:v>0</x:v>
      </x:c>
      <x:c r="K46" s="15" t="n">
        <x:v>188474</x:v>
      </x:c>
      <x:c r="L46" s="15" t="n">
        <x:v>0</x:v>
      </x:c>
      <x:c r="M46" s="15" t="n">
        <x:v>0</x:v>
      </x:c>
      <x:c r="N46" s="15" t="n">
        <x:v>1</x:v>
      </x:c>
      <x:c r="O46" s="15" t="n">
        <x:v>0</x:v>
      </x:c>
      <x:c r="P46" s="15" t="n">
        <x:v>0</x:v>
      </x:c>
      <x:c r="Q46" s="15" t="n">
        <x:v>1</x:v>
      </x:c>
      <x:c r="R46" s="15" t="n">
        <x:v>0</x:v>
      </x:c>
      <x:c r="S46" s="15" t="n">
        <x:v>0</x:v>
      </x:c>
    </x:row>
    <x:row r="47" ht="24" customHeight="1">
      <x:c r="A47" s="15" t="str">
        <x:v>day_shuffled</x:v>
      </x:c>
      <x:c r="B47" s="15" t="str">
        <x:v>Bot</x:v>
      </x:c>
      <x:c r="C47" s="15" t="n">
        <x:v>0</x:v>
      </x:c>
      <x:c r="D47" s="15" t="n">
        <x:v>1387</x:v>
      </x:c>
      <x:c r="E47" s="15" t="n">
        <x:v>0</x:v>
      </x:c>
      <x:c r="F47" s="15" t="n">
        <x:v>0</x:v>
      </x:c>
      <x:c r="G47" s="17" t="n">
        <x:v>0</x:v>
      </x:c>
      <x:c r="H47" s="17" t="n">
        <x:v>0</x:v>
      </x:c>
      <x:c r="I47" s="17" t="n">
        <x:v>1</x:v>
      </x:c>
      <x:c r="J47" s="17" t="n">
        <x:v>0</x:v>
      </x:c>
      <x:c r="K47" s="15" t="n">
        <x:v>0</x:v>
      </x:c>
      <x:c r="L47" s="15" t="n">
        <x:v>207703</x:v>
      </x:c>
      <x:c r="M47" s="15" t="n">
        <x:v>0</x:v>
      </x:c>
      <x:c r="N47" s="15" t="n">
        <x:v>0</x:v>
      </x:c>
      <x:c r="O47" s="15" t="n">
        <x:v>8</x:v>
      </x:c>
      <x:c r="P47" s="15" t="n">
        <x:v>0</x:v>
      </x:c>
      <x:c r="Q47" s="15" t="n">
        <x:v>0</x:v>
      </x:c>
      <x:c r="R47" s="15" t="n">
        <x:v>1</x:v>
      </x:c>
      <x:c r="S47" s="15" t="n">
        <x:v>0</x:v>
      </x:c>
    </x:row>
    <x:row r="48" ht="24" customHeight="1">
      <x:c r="A48" s="15" t="str">
        <x:v>day_shuffled</x:v>
      </x:c>
      <x:c r="B48" s="15" t="str">
        <x:v>Brute_Force_-Web</x:v>
      </x:c>
      <x:c r="C48" s="15" t="n">
        <x:v>1295</x:v>
      </x:c>
      <x:c r="D48" s="15" t="n">
        <x:v>0</x:v>
      </x:c>
      <x:c r="E48" s="15" t="n">
        <x:v>0</x:v>
      </x:c>
      <x:c r="F48" s="15" t="n">
        <x:v>0</x:v>
      </x:c>
      <x:c r="G48" s="17" t="n">
        <x:v>0</x:v>
      </x:c>
      <x:c r="H48" s="17" t="n">
        <x:v>0</x:v>
      </x:c>
      <x:c r="I48" s="17" t="n">
        <x:v>0</x:v>
      </x:c>
      <x:c r="J48" s="17" t="n">
        <x:v>0</x:v>
      </x:c>
      <x:c r="K48" s="15" t="n">
        <x:v>1618</x:v>
      </x:c>
      <x:c r="L48" s="15" t="n">
        <x:v>0</x:v>
      </x:c>
      <x:c r="M48" s="15" t="n">
        <x:v>0</x:v>
      </x:c>
      <x:c r="N48" s="15" t="n">
        <x:v>561</x:v>
      </x:c>
      <x:c r="O48" s="15" t="n">
        <x:v>0</x:v>
      </x:c>
      <x:c r="P48" s="15" t="n">
        <x:v>0</x:v>
      </x:c>
      <x:c r="Q48" s="15" t="n">
        <x:v>1</x:v>
      </x:c>
      <x:c r="R48" s="15" t="n">
        <x:v>0</x:v>
      </x:c>
      <x:c r="S48" s="15" t="n">
        <x:v>0</x:v>
      </x:c>
    </x:row>
    <x:row r="49" ht="24" customHeight="1">
      <x:c r="A49" s="15" t="str">
        <x:v>day_shuffled</x:v>
      </x:c>
      <x:c r="B49" s="15" t="str">
        <x:v>Brute_Force_-XSS</x:v>
      </x:c>
      <x:c r="C49" s="15" t="n">
        <x:v>442</x:v>
      </x:c>
      <x:c r="D49" s="15" t="n">
        <x:v>0</x:v>
      </x:c>
      <x:c r="E49" s="15" t="n">
        <x:v>0</x:v>
      </x:c>
      <x:c r="F49" s="15" t="n">
        <x:v>0</x:v>
      </x:c>
      <x:c r="G49" s="17" t="n">
        <x:v>0</x:v>
      </x:c>
      <x:c r="H49" s="17" t="n">
        <x:v>0</x:v>
      </x:c>
      <x:c r="I49" s="17" t="n">
        <x:v>0</x:v>
      </x:c>
      <x:c r="J49" s="17" t="n">
        <x:v>0</x:v>
      </x:c>
      <x:c r="K49" s="15" t="n">
        <x:v>480</x:v>
      </x:c>
      <x:c r="L49" s="15" t="n">
        <x:v>0</x:v>
      </x:c>
      <x:c r="M49" s="15" t="n">
        <x:v>0</x:v>
      </x:c>
      <x:c r="N49" s="15" t="n">
        <x:v>4</x:v>
      </x:c>
      <x:c r="O49" s="15" t="n">
        <x:v>0</x:v>
      </x:c>
      <x:c r="P49" s="15" t="n">
        <x:v>0</x:v>
      </x:c>
      <x:c r="Q49" s="15" t="n">
        <x:v>1</x:v>
      </x:c>
      <x:c r="R49" s="15" t="n">
        <x:v>0</x:v>
      </x:c>
      <x:c r="S49" s="15" t="n">
        <x:v>0</x:v>
      </x:c>
    </x:row>
    <x:row r="50" ht="24" customHeight="1">
      <x:c r="A50" s="15" t="str">
        <x:v>day_shuffled</x:v>
      </x:c>
      <x:c r="B50" s="15" t="str">
        <x:v>DDOS_attack-HOIC</x:v>
      </x:c>
      <x:c r="C50" s="15" t="n">
        <x:v>340</x:v>
      </x:c>
      <x:c r="D50" s="15" t="n">
        <x:v>0</x:v>
      </x:c>
      <x:c r="E50" s="15" t="n">
        <x:v>0</x:v>
      </x:c>
      <x:c r="F50" s="15" t="n">
        <x:v>0</x:v>
      </x:c>
      <x:c r="G50" s="17" t="n">
        <x:v>0</x:v>
      </x:c>
      <x:c r="H50" s="17" t="n">
        <x:v>0</x:v>
      </x:c>
      <x:c r="I50" s="17" t="n">
        <x:v>0</x:v>
      </x:c>
      <x:c r="J50" s="17" t="n">
        <x:v>0</x:v>
      </x:c>
      <x:c r="K50" s="15" t="n">
        <x:v>1032311</x:v>
      </x:c>
      <x:c r="L50" s="15" t="n">
        <x:v>0</x:v>
      </x:c>
      <x:c r="M50" s="15" t="n">
        <x:v>0</x:v>
      </x:c>
      <x:c r="N50" s="15" t="n">
        <x:v>10</x:v>
      </x:c>
      <x:c r="O50" s="15" t="n">
        <x:v>0</x:v>
      </x:c>
      <x:c r="P50" s="15" t="n">
        <x:v>0</x:v>
      </x:c>
      <x:c r="Q50" s="15" t="n">
        <x:v>1</x:v>
      </x:c>
      <x:c r="R50" s="15" t="n">
        <x:v>0</x:v>
      </x:c>
      <x:c r="S50" s="15" t="n">
        <x:v>0</x:v>
      </x:c>
    </x:row>
    <x:row r="51" ht="24" customHeight="1">
      <x:c r="A51" s="15" t="str">
        <x:v>day_shuffled</x:v>
      </x:c>
      <x:c r="B51" s="15" t="str">
        <x:v>DDOS_attack-LOIC-UDP</x:v>
      </x:c>
      <x:c r="C51" s="15" t="n">
        <x:v>188</x:v>
      </x:c>
      <x:c r="D51" s="15" t="n">
        <x:v>0</x:v>
      </x:c>
      <x:c r="E51" s="15" t="n">
        <x:v>0</x:v>
      </x:c>
      <x:c r="F51" s="15" t="n">
        <x:v>0</x:v>
      </x:c>
      <x:c r="G51" s="17" t="n">
        <x:v>0</x:v>
      </x:c>
      <x:c r="H51" s="17" t="n">
        <x:v>0</x:v>
      </x:c>
      <x:c r="I51" s="17" t="n">
        <x:v>0</x:v>
      </x:c>
      <x:c r="J51" s="17" t="n">
        <x:v>0</x:v>
      </x:c>
      <x:c r="K51" s="15" t="n">
        <x:v>3450</x:v>
      </x:c>
      <x:c r="L51" s="15" t="n">
        <x:v>0</x:v>
      </x:c>
      <x:c r="M51" s="15" t="n">
        <x:v>0</x:v>
      </x:c>
      <x:c r="N51" s="15" t="n">
        <x:v>10</x:v>
      </x:c>
      <x:c r="O51" s="15" t="n">
        <x:v>0</x:v>
      </x:c>
      <x:c r="P51" s="15" t="n">
        <x:v>0</x:v>
      </x:c>
      <x:c r="Q51" s="15" t="n">
        <x:v>1</x:v>
      </x:c>
      <x:c r="R51" s="15" t="n">
        <x:v>0</x:v>
      </x:c>
      <x:c r="S51" s="15" t="n">
        <x:v>0</x:v>
      </x:c>
    </x:row>
    <x:row r="52" ht="24" customHeight="1">
      <x:c r="A52" s="15" t="str">
        <x:v>day_shuffled</x:v>
      </x:c>
      <x:c r="B52" s="15" t="str">
        <x:v>DDoS_attacks-LOIC-HTTP</x:v>
      </x:c>
      <x:c r="C52" s="15" t="n">
        <x:v>471</x:v>
      </x:c>
      <x:c r="D52" s="15" t="n">
        <x:v>0</x:v>
      </x:c>
      <x:c r="E52" s="15" t="n">
        <x:v>0</x:v>
      </x:c>
      <x:c r="F52" s="15" t="n">
        <x:v>0</x:v>
      </x:c>
      <x:c r="G52" s="17" t="n">
        <x:v>0</x:v>
      </x:c>
      <x:c r="H52" s="17" t="n">
        <x:v>0</x:v>
      </x:c>
      <x:c r="I52" s="17" t="n">
        <x:v>0</x:v>
      </x:c>
      <x:c r="J52" s="17" t="n">
        <x:v>0</x:v>
      </x:c>
      <x:c r="K52" s="15" t="n">
        <x:v>288589</x:v>
      </x:c>
      <x:c r="L52" s="15" t="n">
        <x:v>0</x:v>
      </x:c>
      <x:c r="M52" s="15" t="n">
        <x:v>0</x:v>
      </x:c>
      <x:c r="N52" s="15" t="n">
        <x:v>10</x:v>
      </x:c>
      <x:c r="O52" s="15" t="n">
        <x:v>0</x:v>
      </x:c>
      <x:c r="P52" s="15" t="n">
        <x:v>0</x:v>
      </x:c>
      <x:c r="Q52" s="15" t="n">
        <x:v>3</x:v>
      </x:c>
      <x:c r="R52" s="15" t="n">
        <x:v>0</x:v>
      </x:c>
      <x:c r="S52" s="15" t="n">
        <x:v>0</x:v>
      </x:c>
    </x:row>
    <x:row r="53" ht="24" customHeight="1">
      <x:c r="A53" s="15" t="str">
        <x:v>day_shuffled</x:v>
      </x:c>
      <x:c r="B53" s="15" t="str">
        <x:v>DoS_attacks-GoldenEye</x:v>
      </x:c>
      <x:c r="C53" s="15" t="n">
        <x:v>14</x:v>
      </x:c>
      <x:c r="D53" s="15" t="n">
        <x:v>0</x:v>
      </x:c>
      <x:c r="E53" s="15" t="n">
        <x:v>0</x:v>
      </x:c>
      <x:c r="F53" s="15" t="n">
        <x:v>0</x:v>
      </x:c>
      <x:c r="G53" s="17" t="n">
        <x:v>0</x:v>
      </x:c>
      <x:c r="H53" s="17" t="n">
        <x:v>0</x:v>
      </x:c>
      <x:c r="I53" s="17" t="n">
        <x:v>0</x:v>
      </x:c>
      <x:c r="J53" s="17" t="n">
        <x:v>0</x:v>
      </x:c>
      <x:c r="K53" s="15" t="n">
        <x:v>61300</x:v>
      </x:c>
      <x:c r="L53" s="15" t="n">
        <x:v>0</x:v>
      </x:c>
      <x:c r="M53" s="15" t="n">
        <x:v>0</x:v>
      </x:c>
      <x:c r="N53" s="15" t="n">
        <x:v>1</x:v>
      </x:c>
      <x:c r="O53" s="15" t="n">
        <x:v>0</x:v>
      </x:c>
      <x:c r="P53" s="15" t="n">
        <x:v>0</x:v>
      </x:c>
      <x:c r="Q53" s="15" t="n">
        <x:v>5</x:v>
      </x:c>
      <x:c r="R53" s="15" t="n">
        <x:v>0</x:v>
      </x:c>
      <x:c r="S53" s="15" t="n">
        <x:v>0</x:v>
      </x:c>
    </x:row>
    <x:row r="54" ht="24" customHeight="1">
      <x:c r="A54" s="15" t="str">
        <x:v>day_shuffled</x:v>
      </x:c>
      <x:c r="B54" s="15" t="str">
        <x:v>DoS_attacks-Hulk</x:v>
      </x:c>
      <x:c r="C54" s="15" t="n">
        <x:v>0</x:v>
      </x:c>
      <x:c r="D54" s="15" t="n">
        <x:v>0</x:v>
      </x:c>
      <x:c r="E54" s="15" t="n">
        <x:v>9</x:v>
      </x:c>
      <x:c r="F54" s="15" t="n">
        <x:v>0</x:v>
      </x:c>
      <x:c r="G54" s="17" t="n">
        <x:v>1</x:v>
      </x:c>
      <x:c r="H54" s="17" t="n">
        <x:v>1</x:v>
      </x:c>
      <x:c r="I54" s="17" t="n">
        <x:v>0</x:v>
      </x:c>
      <x:c r="J54" s="17" t="n">
        <x:v>0</x:v>
      </x:c>
      <x:c r="K54" s="15" t="n">
        <x:v>0</x:v>
      </x:c>
      <x:c r="L54" s="15" t="n">
        <x:v>0</x:v>
      </x:c>
      <x:c r="M54" s="15" t="n">
        <x:v>100076</x:v>
      </x:c>
      <x:c r="N54" s="15" t="n">
        <x:v>0</x:v>
      </x:c>
      <x:c r="O54" s="15" t="n">
        <x:v>0</x:v>
      </x:c>
      <x:c r="P54" s="15" t="n">
        <x:v>1</x:v>
      </x:c>
      <x:c r="Q54" s="15" t="n">
        <x:v>0</x:v>
      </x:c>
      <x:c r="R54" s="15" t="n">
        <x:v>0</x:v>
      </x:c>
      <x:c r="S54" s="15" t="n">
        <x:v>1</x:v>
      </x:c>
    </x:row>
    <x:row r="55" ht="24" customHeight="1">
      <x:c r="A55" s="15" t="str">
        <x:v>day_shuffled</x:v>
      </x:c>
      <x:c r="B55" s="15" t="str">
        <x:v>DoS_attacks-SlowHTTPTest</x:v>
      </x:c>
      <x:c r="C55" s="15" t="n">
        <x:v>0</x:v>
      </x:c>
      <x:c r="D55" s="15" t="n">
        <x:v>0</x:v>
      </x:c>
      <x:c r="E55" s="15" t="n">
        <x:v>33</x:v>
      </x:c>
      <x:c r="F55" s="15" t="n">
        <x:v>0</x:v>
      </x:c>
      <x:c r="G55" s="17" t="n">
        <x:v>1</x:v>
      </x:c>
      <x:c r="H55" s="17" t="n">
        <x:v>1</x:v>
      </x:c>
      <x:c r="I55" s="17" t="n">
        <x:v>0</x:v>
      </x:c>
      <x:c r="J55" s="17" t="n">
        <x:v>0</x:v>
      </x:c>
      <x:c r="K55" s="15" t="n">
        <x:v>0</x:v>
      </x:c>
      <x:c r="L55" s="15" t="n">
        <x:v>0</x:v>
      </x:c>
      <x:c r="M55" s="15" t="n">
        <x:v>105550</x:v>
      </x:c>
      <x:c r="N55" s="15" t="n">
        <x:v>0</x:v>
      </x:c>
      <x:c r="O55" s="15" t="n">
        <x:v>0</x:v>
      </x:c>
      <x:c r="P55" s="15" t="n">
        <x:v>1</x:v>
      </x:c>
      <x:c r="Q55" s="15" t="n">
        <x:v>0</x:v>
      </x:c>
      <x:c r="R55" s="15" t="n">
        <x:v>0</x:v>
      </x:c>
      <x:c r="S55" s="15" t="n">
        <x:v>1</x:v>
      </x:c>
    </x:row>
    <x:row r="56" ht="24" customHeight="1">
      <x:c r="A56" s="15" t="str">
        <x:v>day_shuffled</x:v>
      </x:c>
      <x:c r="B56" s="15" t="str">
        <x:v>DoS_attacks-Slowloris</x:v>
      </x:c>
      <x:c r="C56" s="15" t="n">
        <x:v>25</x:v>
      </x:c>
      <x:c r="D56" s="15" t="n">
        <x:v>0</x:v>
      </x:c>
      <x:c r="E56" s="15" t="n">
        <x:v>0</x:v>
      </x:c>
      <x:c r="F56" s="15" t="n">
        <x:v>0</x:v>
      </x:c>
      <x:c r="G56" s="17" t="n">
        <x:v>0</x:v>
      </x:c>
      <x:c r="H56" s="17" t="n">
        <x:v>0</x:v>
      </x:c>
      <x:c r="I56" s="17" t="n">
        <x:v>0</x:v>
      </x:c>
      <x:c r="J56" s="17" t="n">
        <x:v>0</x:v>
      </x:c>
      <x:c r="K56" s="15" t="n">
        <x:v>36040</x:v>
      </x:c>
      <x:c r="L56" s="15" t="n">
        <x:v>0</x:v>
      </x:c>
      <x:c r="M56" s="15" t="n">
        <x:v>0</x:v>
      </x:c>
      <x:c r="N56" s="15" t="n">
        <x:v>1</x:v>
      </x:c>
      <x:c r="O56" s="15" t="n">
        <x:v>0</x:v>
      </x:c>
      <x:c r="P56" s="15" t="n">
        <x:v>0</x:v>
      </x:c>
      <x:c r="Q56" s="15" t="n">
        <x:v>1</x:v>
      </x:c>
      <x:c r="R56" s="15" t="n">
        <x:v>0</x:v>
      </x:c>
      <x:c r="S56" s="15" t="n">
        <x:v>0</x:v>
      </x:c>
    </x:row>
    <x:row r="57" ht="24" customHeight="1">
      <x:c r="A57" s="15" t="str">
        <x:v>day_shuffled</x:v>
      </x:c>
      <x:c r="B57" s="15" t="str">
        <x:v>FTP-BruteForce</x:v>
      </x:c>
      <x:c r="C57" s="15" t="n">
        <x:v>0</x:v>
      </x:c>
      <x:c r="D57" s="15" t="n">
        <x:v>0</x:v>
      </x:c>
      <x:c r="E57" s="15" t="n">
        <x:v>59</x:v>
      </x:c>
      <x:c r="F57" s="15" t="n">
        <x:v>0</x:v>
      </x:c>
      <x:c r="G57" s="17" t="n">
        <x:v>1</x:v>
      </x:c>
      <x:c r="H57" s="17" t="n">
        <x:v>1</x:v>
      </x:c>
      <x:c r="I57" s="17" t="n">
        <x:v>0</x:v>
      </x:c>
      <x:c r="J57" s="17" t="n">
        <x:v>0</x:v>
      </x:c>
      <x:c r="K57" s="15" t="n">
        <x:v>0</x:v>
      </x:c>
      <x:c r="L57" s="15" t="n">
        <x:v>0</x:v>
      </x:c>
      <x:c r="M57" s="15" t="n">
        <x:v>386720</x:v>
      </x:c>
      <x:c r="N57" s="15" t="n">
        <x:v>0</x:v>
      </x:c>
      <x:c r="O57" s="15" t="n">
        <x:v>0</x:v>
      </x:c>
      <x:c r="P57" s="15" t="n">
        <x:v>1</x:v>
      </x:c>
      <x:c r="Q57" s="15" t="n">
        <x:v>0</x:v>
      </x:c>
      <x:c r="R57" s="15" t="n">
        <x:v>0</x:v>
      </x:c>
      <x:c r="S57" s="15" t="n">
        <x:v>1</x:v>
      </x:c>
    </x:row>
    <x:row r="58" ht="24" customHeight="1">
      <x:c r="A58" s="15" t="str">
        <x:v>day_shuffled</x:v>
      </x:c>
      <x:c r="B58" s="15" t="str">
        <x:v>Infilteration</x:v>
      </x:c>
      <x:c r="C58" s="15" t="n">
        <x:v>3261</x:v>
      </x:c>
      <x:c r="D58" s="15" t="n">
        <x:v>3373</x:v>
      </x:c>
      <x:c r="E58" s="15" t="n">
        <x:v>0</x:v>
      </x:c>
      <x:c r="F58" s="15" t="n">
        <x:v>0</x:v>
      </x:c>
      <x:c r="G58" s="17" t="n">
        <x:v>0</x:v>
      </x:c>
      <x:c r="H58" s="17" t="n">
        <x:v>0</x:v>
      </x:c>
      <x:c r="I58" s="17" t="n">
        <x:v>0</x:v>
      </x:c>
      <x:c r="J58" s="17" t="n">
        <x:v>0</x:v>
      </x:c>
      <x:c r="K58" s="15" t="n">
        <x:v>84327</x:v>
      </x:c>
      <x:c r="L58" s="15" t="n">
        <x:v>103825</x:v>
      </x:c>
      <x:c r="M58" s="15" t="n">
        <x:v>0</x:v>
      </x:c>
      <x:c r="N58" s="15" t="n">
        <x:v>294</x:v>
      </x:c>
      <x:c r="O58" s="15" t="n">
        <x:v>380</x:v>
      </x:c>
      <x:c r="P58" s="15" t="n">
        <x:v>0</x:v>
      </x:c>
      <x:c r="Q58" s="15" t="n">
        <x:v>1</x:v>
      </x:c>
      <x:c r="R58" s="15" t="n">
        <x:v>2</x:v>
      </x:c>
      <x:c r="S58" s="15" t="n">
        <x:v>0</x:v>
      </x:c>
    </x:row>
    <x:row r="59" ht="24" customHeight="1">
      <x:c r="A59" s="15" t="str">
        <x:v>day_shuffled</x:v>
      </x:c>
      <x:c r="B59" s="15" t="str">
        <x:v>SQL_Injection</x:v>
      </x:c>
      <x:c r="C59" s="15" t="n">
        <x:v>388</x:v>
      </x:c>
      <x:c r="D59" s="15" t="n">
        <x:v>0</x:v>
      </x:c>
      <x:c r="E59" s="15" t="n">
        <x:v>0</x:v>
      </x:c>
      <x:c r="F59" s="15" t="n">
        <x:v>0</x:v>
      </x:c>
      <x:c r="G59" s="17" t="n">
        <x:v>0</x:v>
      </x:c>
      <x:c r="H59" s="17" t="n">
        <x:v>0</x:v>
      </x:c>
      <x:c r="I59" s="17" t="n">
        <x:v>0</x:v>
      </x:c>
      <x:c r="J59" s="17" t="n">
        <x:v>0</x:v>
      </x:c>
      <x:c r="K59" s="15" t="n">
        <x:v>440</x:v>
      </x:c>
      <x:c r="L59" s="15" t="n">
        <x:v>0</x:v>
      </x:c>
      <x:c r="M59" s="15" t="n">
        <x:v>0</x:v>
      </x:c>
      <x:c r="N59" s="15" t="n">
        <x:v>4</x:v>
      </x:c>
      <x:c r="O59" s="15" t="n">
        <x:v>0</x:v>
      </x:c>
      <x:c r="P59" s="15" t="n">
        <x:v>0</x:v>
      </x:c>
      <x:c r="Q59" s="15" t="n">
        <x:v>1</x:v>
      </x:c>
      <x:c r="R59" s="15" t="n">
        <x:v>0</x:v>
      </x:c>
      <x:c r="S59" s="15" t="n">
        <x:v>0</x:v>
      </x:c>
    </x:row>
    <x:row r="60" ht="24" customHeight="1">
      <x:c r="A60" s="15" t="str">
        <x:v>day_shuffled</x:v>
      </x:c>
      <x:c r="B60" s="15" t="str">
        <x:v>SSH-Bruteforce</x:v>
      </x:c>
      <x:c r="C60" s="15" t="n">
        <x:v>0</x:v>
      </x:c>
      <x:c r="D60" s="15" t="n">
        <x:v>0</x:v>
      </x:c>
      <x:c r="E60" s="15" t="n">
        <x:v>56</x:v>
      </x:c>
      <x:c r="F60" s="15" t="n">
        <x:v>0</x:v>
      </x:c>
      <x:c r="G60" s="17" t="n">
        <x:v>1</x:v>
      </x:c>
      <x:c r="H60" s="17" t="n">
        <x:v>1</x:v>
      </x:c>
      <x:c r="I60" s="17" t="n">
        <x:v>0</x:v>
      </x:c>
      <x:c r="J60" s="17" t="n">
        <x:v>0</x:v>
      </x:c>
      <x:c r="K60" s="15" t="n">
        <x:v>0</x:v>
      </x:c>
      <x:c r="L60" s="15" t="n">
        <x:v>0</x:v>
      </x:c>
      <x:c r="M60" s="15" t="n">
        <x:v>188474</x:v>
      </x:c>
      <x:c r="N60" s="15" t="n">
        <x:v>0</x:v>
      </x:c>
      <x:c r="O60" s="15" t="n">
        <x:v>0</x:v>
      </x:c>
      <x:c r="P60" s="15" t="n">
        <x:v>1</x:v>
      </x:c>
      <x:c r="Q60" s="15" t="n">
        <x:v>0</x:v>
      </x:c>
      <x:c r="R60" s="15" t="n">
        <x:v>0</x:v>
      </x:c>
      <x:c r="S60" s="15" t="n">
        <x:v>1</x:v>
      </x:c>
    </x:row>
    <x:row r="61" ht="24" customHeight="1">
      <x:c r="A61" s="15" t="str">
        <x:v>blocks_15m</x:v>
      </x:c>
      <x:c r="B61" s="15" t="str">
        <x:v>Bot</x:v>
      </x:c>
      <x:c r="C61" s="15" t="n">
        <x:v>820</x:v>
      </x:c>
      <x:c r="D61" s="15" t="n">
        <x:v>222</x:v>
      </x:c>
      <x:c r="E61" s="15" t="n">
        <x:v>203</x:v>
      </x:c>
      <x:c r="F61" s="15" t="n">
        <x:v>142</x:v>
      </x:c>
      <x:c r="G61" s="17" t="n">
        <x:v>0</x:v>
      </x:c>
      <x:c r="H61" s="17" t="n">
        <x:v>0</x:v>
      </x:c>
      <x:c r="I61" s="17" t="n">
        <x:v>0</x:v>
      </x:c>
      <x:c r="J61" s="17" t="n">
        <x:v>1</x:v>
      </x:c>
      <x:c r="K61" s="15" t="n">
        <x:v>89944</x:v>
      </x:c>
      <x:c r="L61" s="15" t="n">
        <x:v>52460</x:v>
      </x:c>
      <x:c r="M61" s="15" t="n">
        <x:v>45410</x:v>
      </x:c>
      <x:c r="N61" s="15" t="n">
        <x:v>8</x:v>
      </x:c>
      <x:c r="O61" s="15" t="n">
        <x:v>8</x:v>
      </x:c>
      <x:c r="P61" s="15" t="n">
        <x:v>8</x:v>
      </x:c>
      <x:c r="Q61" s="15" t="n">
        <x:v>1</x:v>
      </x:c>
      <x:c r="R61" s="15" t="n">
        <x:v>1</x:v>
      </x:c>
      <x:c r="S61" s="15" t="n">
        <x:v>1</x:v>
      </x:c>
    </x:row>
    <x:row r="62" ht="24" customHeight="1">
      <x:c r="A62" s="15" t="str">
        <x:v>blocks_15m</x:v>
      </x:c>
      <x:c r="B62" s="15" t="str">
        <x:v>Brute_Force_-Web</x:v>
      </x:c>
      <x:c r="C62" s="15" t="n">
        <x:v>743</x:v>
      </x:c>
      <x:c r="D62" s="15" t="n">
        <x:v>204</x:v>
      </x:c>
      <x:c r="E62" s="15" t="n">
        <x:v>189</x:v>
      </x:c>
      <x:c r="F62" s="15" t="n">
        <x:v>159</x:v>
      </x:c>
      <x:c r="G62" s="17" t="n">
        <x:v>0</x:v>
      </x:c>
      <x:c r="H62" s="17" t="n">
        <x:v>0</x:v>
      </x:c>
      <x:c r="I62" s="17" t="n">
        <x:v>0</x:v>
      </x:c>
      <x:c r="J62" s="17" t="n">
        <x:v>1</x:v>
      </x:c>
      <x:c r="K62" s="15" t="n">
        <x:v>938</x:v>
      </x:c>
      <x:c r="L62" s="15" t="n">
        <x:v>299</x:v>
      </x:c>
      <x:c r="M62" s="15" t="n">
        <x:v>210</x:v>
      </x:c>
      <x:c r="N62" s="15" t="n">
        <x:v>367</x:v>
      </x:c>
      <x:c r="O62" s="15" t="n">
        <x:v>112</x:v>
      </x:c>
      <x:c r="P62" s="15" t="n">
        <x:v>110</x:v>
      </x:c>
      <x:c r="Q62" s="15" t="n">
        <x:v>1</x:v>
      </x:c>
      <x:c r="R62" s="15" t="n">
        <x:v>1</x:v>
      </x:c>
      <x:c r="S62" s="15" t="n">
        <x:v>1</x:v>
      </x:c>
    </x:row>
    <x:row r="63" ht="24" customHeight="1">
      <x:c r="A63" s="15" t="str">
        <x:v>blocks_15m</x:v>
      </x:c>
      <x:c r="B63" s="15" t="str">
        <x:v>Brute_Force_-XSS</x:v>
      </x:c>
      <x:c r="C63" s="15" t="n">
        <x:v>249</x:v>
      </x:c>
      <x:c r="D63" s="15" t="n">
        <x:v>61</x:v>
      </x:c>
      <x:c r="E63" s="15" t="n">
        <x:v>55</x:v>
      </x:c>
      <x:c r="F63" s="15" t="n">
        <x:v>77</x:v>
      </x:c>
      <x:c r="G63" s="17" t="n">
        <x:v>0</x:v>
      </x:c>
      <x:c r="H63" s="17" t="n">
        <x:v>0</x:v>
      </x:c>
      <x:c r="I63" s="17" t="n">
        <x:v>0</x:v>
      </x:c>
      <x:c r="J63" s="17" t="n">
        <x:v>1</x:v>
      </x:c>
      <x:c r="K63" s="15" t="n">
        <x:v>268</x:v>
      </x:c>
      <x:c r="L63" s="15" t="n">
        <x:v>67</x:v>
      </x:c>
      <x:c r="M63" s="15" t="n">
        <x:v>58</x:v>
      </x:c>
      <x:c r="N63" s="15" t="n">
        <x:v>4</x:v>
      </x:c>
      <x:c r="O63" s="15" t="n">
        <x:v>4</x:v>
      </x:c>
      <x:c r="P63" s="15" t="n">
        <x:v>3</x:v>
      </x:c>
      <x:c r="Q63" s="15" t="n">
        <x:v>1</x:v>
      </x:c>
      <x:c r="R63" s="15" t="n">
        <x:v>1</x:v>
      </x:c>
      <x:c r="S63" s="15" t="n">
        <x:v>1</x:v>
      </x:c>
    </x:row>
    <x:row r="64" ht="24" customHeight="1">
      <x:c r="A64" s="15" t="str">
        <x:v>blocks_15m</x:v>
      </x:c>
      <x:c r="B64" s="15" t="str">
        <x:v>DDOS_attack-HOIC</x:v>
      </x:c>
      <x:c r="C64" s="15" t="n">
        <x:v>340</x:v>
      </x:c>
      <x:c r="D64" s="15" t="n">
        <x:v>0</x:v>
      </x:c>
      <x:c r="E64" s="15" t="n">
        <x:v>0</x:v>
      </x:c>
      <x:c r="F64" s="15" t="n">
        <x:v>0</x:v>
      </x:c>
      <x:c r="G64" s="17" t="n">
        <x:v>0</x:v>
      </x:c>
      <x:c r="H64" s="17" t="n">
        <x:v>0</x:v>
      </x:c>
      <x:c r="I64" s="17" t="n">
        <x:v>0</x:v>
      </x:c>
      <x:c r="J64" s="17" t="n">
        <x:v>0</x:v>
      </x:c>
      <x:c r="K64" s="15" t="n">
        <x:v>1032311</x:v>
      </x:c>
      <x:c r="L64" s="15" t="n">
        <x:v>0</x:v>
      </x:c>
      <x:c r="M64" s="15" t="n">
        <x:v>0</x:v>
      </x:c>
      <x:c r="N64" s="15" t="n">
        <x:v>10</x:v>
      </x:c>
      <x:c r="O64" s="15" t="n">
        <x:v>0</x:v>
      </x:c>
      <x:c r="P64" s="15" t="n">
        <x:v>0</x:v>
      </x:c>
      <x:c r="Q64" s="15" t="n">
        <x:v>1</x:v>
      </x:c>
      <x:c r="R64" s="15" t="n">
        <x:v>0</x:v>
      </x:c>
      <x:c r="S64" s="15" t="n">
        <x:v>0</x:v>
      </x:c>
    </x:row>
    <x:row r="65" ht="24" customHeight="1">
      <x:c r="A65" s="15" t="str">
        <x:v>blocks_15m</x:v>
      </x:c>
      <x:c r="B65" s="15" t="str">
        <x:v>DDOS_attack-LOIC-UDP</x:v>
      </x:c>
      <x:c r="C65" s="15" t="n">
        <x:v>188</x:v>
      </x:c>
      <x:c r="D65" s="15" t="n">
        <x:v>0</x:v>
      </x:c>
      <x:c r="E65" s="15" t="n">
        <x:v>0</x:v>
      </x:c>
      <x:c r="F65" s="15" t="n">
        <x:v>0</x:v>
      </x:c>
      <x:c r="G65" s="17" t="n">
        <x:v>0</x:v>
      </x:c>
      <x:c r="H65" s="17" t="n">
        <x:v>0</x:v>
      </x:c>
      <x:c r="I65" s="17" t="n">
        <x:v>0</x:v>
      </x:c>
      <x:c r="J65" s="17" t="n">
        <x:v>0</x:v>
      </x:c>
      <x:c r="K65" s="15" t="n">
        <x:v>3450</x:v>
      </x:c>
      <x:c r="L65" s="15" t="n">
        <x:v>0</x:v>
      </x:c>
      <x:c r="M65" s="15" t="n">
        <x:v>0</x:v>
      </x:c>
      <x:c r="N65" s="15" t="n">
        <x:v>10</x:v>
      </x:c>
      <x:c r="O65" s="15" t="n">
        <x:v>0</x:v>
      </x:c>
      <x:c r="P65" s="15" t="n">
        <x:v>0</x:v>
      </x:c>
      <x:c r="Q65" s="15" t="n">
        <x:v>1</x:v>
      </x:c>
      <x:c r="R65" s="15" t="n">
        <x:v>0</x:v>
      </x:c>
      <x:c r="S65" s="15" t="n">
        <x:v>0</x:v>
      </x:c>
    </x:row>
    <x:row r="66" ht="24" customHeight="1">
      <x:c r="A66" s="15" t="str">
        <x:v>blocks_15m</x:v>
      </x:c>
      <x:c r="B66" s="15" t="str">
        <x:v>DDoS_attacks-LOIC-HTTP</x:v>
      </x:c>
      <x:c r="C66" s="15" t="n">
        <x:v>245</x:v>
      </x:c>
      <x:c r="D66" s="15" t="n">
        <x:v>60</x:v>
      </x:c>
      <x:c r="E66" s="15" t="n">
        <x:v>61</x:v>
      </x:c>
      <x:c r="F66" s="15" t="n">
        <x:v>105</x:v>
      </x:c>
      <x:c r="G66" s="17" t="n">
        <x:v>0</x:v>
      </x:c>
      <x:c r="H66" s="17" t="n">
        <x:v>0</x:v>
      </x:c>
      <x:c r="I66" s="17" t="n">
        <x:v>0</x:v>
      </x:c>
      <x:c r="J66" s="17" t="n">
        <x:v>1</x:v>
      </x:c>
      <x:c r="K66" s="15" t="n">
        <x:v>123365</x:v>
      </x:c>
      <x:c r="L66" s="15" t="n">
        <x:v>46785</x:v>
      </x:c>
      <x:c r="M66" s="15" t="n">
        <x:v>46803</x:v>
      </x:c>
      <x:c r="N66" s="15" t="n">
        <x:v>10</x:v>
      </x:c>
      <x:c r="O66" s="15" t="n">
        <x:v>10</x:v>
      </x:c>
      <x:c r="P66" s="15" t="n">
        <x:v>10</x:v>
      </x:c>
      <x:c r="Q66" s="15" t="n">
        <x:v>2</x:v>
      </x:c>
      <x:c r="R66" s="15" t="n">
        <x:v>1</x:v>
      </x:c>
      <x:c r="S66" s="15" t="n">
        <x:v>2</x:v>
      </x:c>
    </x:row>
    <x:row r="67" ht="24" customHeight="1">
      <x:c r="A67" s="15" t="str">
        <x:v>blocks_15m</x:v>
      </x:c>
      <x:c r="B67" s="15" t="str">
        <x:v>DoS_attacks-GoldenEye</x:v>
      </x:c>
      <x:c r="C67" s="15" t="n">
        <x:v>11</x:v>
      </x:c>
      <x:c r="D67" s="15" t="n">
        <x:v>0</x:v>
      </x:c>
      <x:c r="E67" s="15" t="n">
        <x:v>0</x:v>
      </x:c>
      <x:c r="F67" s="15" t="n">
        <x:v>3</x:v>
      </x:c>
      <x:c r="G67" s="17" t="n">
        <x:v>0</x:v>
      </x:c>
      <x:c r="H67" s="17" t="n">
        <x:v>0</x:v>
      </x:c>
      <x:c r="I67" s="17" t="n">
        <x:v>0</x:v>
      </x:c>
      <x:c r="J67" s="17" t="n">
        <x:v>0</x:v>
      </x:c>
      <x:c r="K67" s="15" t="n">
        <x:v>47108</x:v>
      </x:c>
      <x:c r="L67" s="15" t="n">
        <x:v>0</x:v>
      </x:c>
      <x:c r="M67" s="15" t="n">
        <x:v>0</x:v>
      </x:c>
      <x:c r="N67" s="15" t="n">
        <x:v>1</x:v>
      </x:c>
      <x:c r="O67" s="15" t="n">
        <x:v>0</x:v>
      </x:c>
      <x:c r="P67" s="15" t="n">
        <x:v>0</x:v>
      </x:c>
      <x:c r="Q67" s="15" t="n">
        <x:v>4</x:v>
      </x:c>
      <x:c r="R67" s="15" t="n">
        <x:v>0</x:v>
      </x:c>
      <x:c r="S67" s="15" t="n">
        <x:v>0</x:v>
      </x:c>
    </x:row>
    <x:row r="68" ht="24" customHeight="1">
      <x:c r="A68" s="15" t="str">
        <x:v>blocks_15m</x:v>
      </x:c>
      <x:c r="B68" s="15" t="str">
        <x:v>DoS_attacks-Hulk</x:v>
      </x:c>
      <x:c r="C68" s="15" t="n">
        <x:v>0</x:v>
      </x:c>
      <x:c r="D68" s="15" t="n">
        <x:v>9</x:v>
      </x:c>
      <x:c r="E68" s="15" t="n">
        <x:v>0</x:v>
      </x:c>
      <x:c r="F68" s="15" t="n">
        <x:v>0</x:v>
      </x:c>
      <x:c r="G68" s="17" t="n">
        <x:v>0</x:v>
      </x:c>
      <x:c r="H68" s="17" t="n">
        <x:v>0</x:v>
      </x:c>
      <x:c r="I68" s="17" t="n">
        <x:v>1</x:v>
      </x:c>
      <x:c r="J68" s="17" t="n">
        <x:v>0</x:v>
      </x:c>
      <x:c r="K68" s="15" t="n">
        <x:v>0</x:v>
      </x:c>
      <x:c r="L68" s="15" t="n">
        <x:v>100076</x:v>
      </x:c>
      <x:c r="M68" s="15" t="n">
        <x:v>0</x:v>
      </x:c>
      <x:c r="N68" s="15" t="n">
        <x:v>0</x:v>
      </x:c>
      <x:c r="O68" s="15" t="n">
        <x:v>1</x:v>
      </x:c>
      <x:c r="P68" s="15" t="n">
        <x:v>0</x:v>
      </x:c>
      <x:c r="Q68" s="15" t="n">
        <x:v>0</x:v>
      </x:c>
      <x:c r="R68" s="15" t="n">
        <x:v>1</x:v>
      </x:c>
      <x:c r="S68" s="15" t="n">
        <x:v>0</x:v>
      </x:c>
    </x:row>
    <x:row r="69" ht="24" customHeight="1">
      <x:c r="A69" s="15" t="str">
        <x:v>blocks_15m</x:v>
      </x:c>
      <x:c r="B69" s="15" t="str">
        <x:v>DoS_attacks-SlowHTTPTest</x:v>
      </x:c>
      <x:c r="C69" s="15" t="n">
        <x:v>22</x:v>
      </x:c>
      <x:c r="D69" s="15" t="n">
        <x:v>7</x:v>
      </x:c>
      <x:c r="E69" s="15" t="n">
        <x:v>0</x:v>
      </x:c>
      <x:c r="F69" s="15" t="n">
        <x:v>4</x:v>
      </x:c>
      <x:c r="G69" s="17" t="n">
        <x:v>0</x:v>
      </x:c>
      <x:c r="H69" s="17" t="n">
        <x:v>0</x:v>
      </x:c>
      <x:c r="I69" s="17" t="n">
        <x:v>0</x:v>
      </x:c>
      <x:c r="J69" s="17" t="n">
        <x:v>0</x:v>
      </x:c>
      <x:c r="K69" s="15" t="n">
        <x:v>69040</x:v>
      </x:c>
      <x:c r="L69" s="15" t="n">
        <x:v>23240</x:v>
      </x:c>
      <x:c r="M69" s="15" t="n">
        <x:v>0</x:v>
      </x:c>
      <x:c r="N69" s="15" t="n">
        <x:v>1</x:v>
      </x:c>
      <x:c r="O69" s="15" t="n">
        <x:v>1</x:v>
      </x:c>
      <x:c r="P69" s="15" t="n">
        <x:v>0</x:v>
      </x:c>
      <x:c r="Q69" s="15" t="n">
        <x:v>1</x:v>
      </x:c>
      <x:c r="R69" s="15" t="n">
        <x:v>1</x:v>
      </x:c>
      <x:c r="S69" s="15" t="n">
        <x:v>0</x:v>
      </x:c>
    </x:row>
    <x:row r="70" ht="24" customHeight="1">
      <x:c r="A70" s="15" t="str">
        <x:v>blocks_15m</x:v>
      </x:c>
      <x:c r="B70" s="15" t="str">
        <x:v>DoS_attacks-Slowloris</x:v>
      </x:c>
      <x:c r="C70" s="15" t="n">
        <x:v>12</x:v>
      </x:c>
      <x:c r="D70" s="15" t="n">
        <x:v>6</x:v>
      </x:c>
      <x:c r="E70" s="15" t="n">
        <x:v>0</x:v>
      </x:c>
      <x:c r="F70" s="15" t="n">
        <x:v>7</x:v>
      </x:c>
      <x:c r="G70" s="17" t="n">
        <x:v>0</x:v>
      </x:c>
      <x:c r="H70" s="17" t="n">
        <x:v>0</x:v>
      </x:c>
      <x:c r="I70" s="17" t="n">
        <x:v>0</x:v>
      </x:c>
      <x:c r="J70" s="17" t="n">
        <x:v>0</x:v>
      </x:c>
      <x:c r="K70" s="15" t="n">
        <x:v>17292</x:v>
      </x:c>
      <x:c r="L70" s="15" t="n">
        <x:v>8704</x:v>
      </x:c>
      <x:c r="M70" s="15" t="n">
        <x:v>0</x:v>
      </x:c>
      <x:c r="N70" s="15" t="n">
        <x:v>1</x:v>
      </x:c>
      <x:c r="O70" s="15" t="n">
        <x:v>1</x:v>
      </x:c>
      <x:c r="P70" s="15" t="n">
        <x:v>0</x:v>
      </x:c>
      <x:c r="Q70" s="15" t="n">
        <x:v>1</x:v>
      </x:c>
      <x:c r="R70" s="15" t="n">
        <x:v>1</x:v>
      </x:c>
      <x:c r="S70" s="15" t="n">
        <x:v>0</x:v>
      </x:c>
    </x:row>
    <x:row r="71" ht="24" customHeight="1">
      <x:c r="A71" s="15" t="str">
        <x:v>blocks_15m</x:v>
      </x:c>
      <x:c r="B71" s="15" t="str">
        <x:v>FTP-BruteForce</x:v>
      </x:c>
      <x:c r="C71" s="15" t="n">
        <x:v>28</x:v>
      </x:c>
      <x:c r="D71" s="15" t="n">
        <x:v>14</x:v>
      </x:c>
      <x:c r="E71" s="15" t="n">
        <x:v>7</x:v>
      </x:c>
      <x:c r="F71" s="15" t="n">
        <x:v>10</x:v>
      </x:c>
      <x:c r="G71" s="17" t="n">
        <x:v>0</x:v>
      </x:c>
      <x:c r="H71" s="17" t="n">
        <x:v>0</x:v>
      </x:c>
      <x:c r="I71" s="17" t="n">
        <x:v>0</x:v>
      </x:c>
      <x:c r="J71" s="17" t="n">
        <x:v>1</x:v>
      </x:c>
      <x:c r="K71" s="15" t="n">
        <x:v>180960</x:v>
      </x:c>
      <x:c r="L71" s="15" t="n">
        <x:v>92900</x:v>
      </x:c>
      <x:c r="M71" s="15" t="n">
        <x:v>46460</x:v>
      </x:c>
      <x:c r="N71" s="15" t="n">
        <x:v>1</x:v>
      </x:c>
      <x:c r="O71" s="15" t="n">
        <x:v>1</x:v>
      </x:c>
      <x:c r="P71" s="15" t="n">
        <x:v>1</x:v>
      </x:c>
      <x:c r="Q71" s="15" t="n">
        <x:v>1</x:v>
      </x:c>
      <x:c r="R71" s="15" t="n">
        <x:v>1</x:v>
      </x:c>
      <x:c r="S71" s="15" t="n">
        <x:v>1</x:v>
      </x:c>
    </x:row>
    <x:row r="72" ht="24" customHeight="1">
      <x:c r="A72" s="15" t="str">
        <x:v>blocks_15m</x:v>
      </x:c>
      <x:c r="B72" s="15" t="str">
        <x:v>Infilteration</x:v>
      </x:c>
      <x:c r="C72" s="15" t="n">
        <x:v>4078</x:v>
      </x:c>
      <x:c r="D72" s="15" t="n">
        <x:v>849</x:v>
      </x:c>
      <x:c r="E72" s="15" t="n">
        <x:v>774</x:v>
      </x:c>
      <x:c r="F72" s="15" t="n">
        <x:v>933</x:v>
      </x:c>
      <x:c r="G72" s="17" t="n">
        <x:v>0</x:v>
      </x:c>
      <x:c r="H72" s="17" t="n">
        <x:v>0</x:v>
      </x:c>
      <x:c r="I72" s="17" t="n">
        <x:v>0</x:v>
      </x:c>
      <x:c r="J72" s="17" t="n">
        <x:v>1</x:v>
      </x:c>
      <x:c r="K72" s="15" t="n">
        <x:v>126989</x:v>
      </x:c>
      <x:c r="L72" s="15" t="n">
        <x:v>17575</x:v>
      </x:c>
      <x:c r="M72" s="15" t="n">
        <x:v>14393</x:v>
      </x:c>
      <x:c r="N72" s="15" t="n">
        <x:v>470</x:v>
      </x:c>
      <x:c r="O72" s="15" t="n">
        <x:v>102</x:v>
      </x:c>
      <x:c r="P72" s="15" t="n">
        <x:v>97</x:v>
      </x:c>
      <x:c r="Q72" s="15" t="n">
        <x:v>3</x:v>
      </x:c>
      <x:c r="R72" s="15" t="n">
        <x:v>2</x:v>
      </x:c>
      <x:c r="S72" s="15" t="n">
        <x:v>2</x:v>
      </x:c>
    </x:row>
    <x:row r="73" ht="24" customHeight="1">
      <x:c r="A73" s="15" t="str">
        <x:v>blocks_15m</x:v>
      </x:c>
      <x:c r="B73" s="15" t="str">
        <x:v>SQL_Injection</x:v>
      </x:c>
      <x:c r="C73" s="15" t="n">
        <x:v>250</x:v>
      </x:c>
      <x:c r="D73" s="15" t="n">
        <x:v>55</x:v>
      </x:c>
      <x:c r="E73" s="15" t="n">
        <x:v>23</x:v>
      </x:c>
      <x:c r="F73" s="15" t="n">
        <x:v>60</x:v>
      </x:c>
      <x:c r="G73" s="17" t="n">
        <x:v>0</x:v>
      </x:c>
      <x:c r="H73" s="17" t="n">
        <x:v>0</x:v>
      </x:c>
      <x:c r="I73" s="17" t="n">
        <x:v>0</x:v>
      </x:c>
      <x:c r="J73" s="17" t="n">
        <x:v>1</x:v>
      </x:c>
      <x:c r="K73" s="15" t="n">
        <x:v>291</x:v>
      </x:c>
      <x:c r="L73" s="15" t="n">
        <x:v>60</x:v>
      </x:c>
      <x:c r="M73" s="15" t="n">
        <x:v>23</x:v>
      </x:c>
      <x:c r="N73" s="15" t="n">
        <x:v>4</x:v>
      </x:c>
      <x:c r="O73" s="15" t="n">
        <x:v>4</x:v>
      </x:c>
      <x:c r="P73" s="15" t="n">
        <x:v>3</x:v>
      </x:c>
      <x:c r="Q73" s="15" t="n">
        <x:v>1</x:v>
      </x:c>
      <x:c r="R73" s="15" t="n">
        <x:v>1</x:v>
      </x:c>
      <x:c r="S73" s="15" t="n">
        <x:v>1</x:v>
      </x:c>
    </x:row>
    <x:row r="74" ht="24" customHeight="1">
      <x:c r="A74" s="15" t="str">
        <x:v>blocks_15m</x:v>
      </x:c>
      <x:c r="B74" s="15" t="str">
        <x:v>SSH-Bruteforce</x:v>
      </x:c>
      <x:c r="C74" s="15" t="n">
        <x:v>24</x:v>
      </x:c>
      <x:c r="D74" s="15" t="n">
        <x:v>6</x:v>
      </x:c>
      <x:c r="E74" s="15" t="n">
        <x:v>16</x:v>
      </x:c>
      <x:c r="F74" s="15" t="n">
        <x:v>10</x:v>
      </x:c>
      <x:c r="G74" s="17" t="n">
        <x:v>0</x:v>
      </x:c>
      <x:c r="H74" s="17" t="n">
        <x:v>0</x:v>
      </x:c>
      <x:c r="I74" s="17" t="n">
        <x:v>0</x:v>
      </x:c>
      <x:c r="J74" s="17" t="n">
        <x:v>1</x:v>
      </x:c>
      <x:c r="K74" s="15" t="n">
        <x:v>82794</x:v>
      </x:c>
      <x:c r="L74" s="15" t="n">
        <x:v>20758</x:v>
      </x:c>
      <x:c r="M74" s="15" t="n">
        <x:v>53688</x:v>
      </x:c>
      <x:c r="N74" s="15" t="n">
        <x:v>1</x:v>
      </x:c>
      <x:c r="O74" s="15" t="n">
        <x:v>1</x:v>
      </x:c>
      <x:c r="P74" s="15" t="n">
        <x:v>1</x:v>
      </x:c>
      <x:c r="Q74" s="15" t="n">
        <x:v>1</x:v>
      </x:c>
      <x:c r="R74" s="15" t="n">
        <x:v>1</x:v>
      </x:c>
      <x:c r="S74" s="15" t="n">
        <x:v>1</x:v>
      </x:c>
    </x:row>
    <x:row r="75" ht="24" customHeight="1">
      <x:c r="A75" s="15" t="str">
        <x:v>blocks_30m</x:v>
      </x:c>
      <x:c r="B75" s="15" t="str">
        <x:v>Bot</x:v>
      </x:c>
      <x:c r="C75" s="15" t="n">
        <x:v>727</x:v>
      </x:c>
      <x:c r="D75" s="15" t="n">
        <x:v>582</x:v>
      </x:c>
      <x:c r="E75" s="15" t="n">
        <x:v>0</x:v>
      </x:c>
      <x:c r="F75" s="15" t="n">
        <x:v>78</x:v>
      </x:c>
      <x:c r="G75" s="17" t="n">
        <x:v>0</x:v>
      </x:c>
      <x:c r="H75" s="17" t="n">
        <x:v>0</x:v>
      </x:c>
      <x:c r="I75" s="17" t="n">
        <x:v>0</x:v>
      </x:c>
      <x:c r="J75" s="17" t="n">
        <x:v>0</x:v>
      </x:c>
      <x:c r="K75" s="15" t="n">
        <x:v>134028</x:v>
      </x:c>
      <x:c r="L75" s="15" t="n">
        <x:v>66569</x:v>
      </x:c>
      <x:c r="M75" s="15" t="n">
        <x:v>0</x:v>
      </x:c>
      <x:c r="N75" s="15" t="n">
        <x:v>8</x:v>
      </x:c>
      <x:c r="O75" s="15" t="n">
        <x:v>8</x:v>
      </x:c>
      <x:c r="P75" s="15" t="n">
        <x:v>0</x:v>
      </x:c>
      <x:c r="Q75" s="15" t="n">
        <x:v>1</x:v>
      </x:c>
      <x:c r="R75" s="15" t="n">
        <x:v>1</x:v>
      </x:c>
      <x:c r="S75" s="15" t="n">
        <x:v>0</x:v>
      </x:c>
    </x:row>
    <x:row r="76" ht="24" customHeight="1">
      <x:c r="A76" s="15" t="str">
        <x:v>blocks_30m</x:v>
      </x:c>
      <x:c r="B76" s="15" t="str">
        <x:v>Brute_Force_-Web</x:v>
      </x:c>
      <x:c r="C76" s="15" t="n">
        <x:v>853</x:v>
      </x:c>
      <x:c r="D76" s="15" t="n">
        <x:v>179</x:v>
      </x:c>
      <x:c r="E76" s="15" t="n">
        <x:v>178</x:v>
      </x:c>
      <x:c r="F76" s="15" t="n">
        <x:v>85</x:v>
      </x:c>
      <x:c r="G76" s="17" t="n">
        <x:v>0</x:v>
      </x:c>
      <x:c r="H76" s="17" t="n">
        <x:v>0</x:v>
      </x:c>
      <x:c r="I76" s="17" t="n">
        <x:v>0</x:v>
      </x:c>
      <x:c r="J76" s="17" t="n">
        <x:v>1</x:v>
      </x:c>
      <x:c r="K76" s="15" t="n">
        <x:v>1032</x:v>
      </x:c>
      <x:c r="L76" s="15" t="n">
        <x:v>284</x:v>
      </x:c>
      <x:c r="M76" s="15" t="n">
        <x:v>210</x:v>
      </x:c>
      <x:c r="N76" s="15" t="n">
        <x:v>401</x:v>
      </x:c>
      <x:c r="O76" s="15" t="n">
        <x:v>105</x:v>
      </x:c>
      <x:c r="P76" s="15" t="n">
        <x:v>108</x:v>
      </x:c>
      <x:c r="Q76" s="15" t="n">
        <x:v>1</x:v>
      </x:c>
      <x:c r="R76" s="15" t="n">
        <x:v>1</x:v>
      </x:c>
      <x:c r="S76" s="15" t="n">
        <x:v>1</x:v>
      </x:c>
    </x:row>
    <x:row r="77" ht="24" customHeight="1">
      <x:c r="A77" s="15" t="str">
        <x:v>blocks_30m</x:v>
      </x:c>
      <x:c r="B77" s="15" t="str">
        <x:v>Brute_Force_-XSS</x:v>
      </x:c>
      <x:c r="C77" s="15" t="n">
        <x:v>279</x:v>
      </x:c>
      <x:c r="D77" s="15" t="n">
        <x:v>61</x:v>
      </x:c>
      <x:c r="E77" s="15" t="n">
        <x:v>57</x:v>
      </x:c>
      <x:c r="F77" s="15" t="n">
        <x:v>45</x:v>
      </x:c>
      <x:c r="G77" s="17" t="n">
        <x:v>0</x:v>
      </x:c>
      <x:c r="H77" s="17" t="n">
        <x:v>0</x:v>
      </x:c>
      <x:c r="I77" s="17" t="n">
        <x:v>0</x:v>
      </x:c>
      <x:c r="J77" s="17" t="n">
        <x:v>1</x:v>
      </x:c>
      <x:c r="K77" s="15" t="n">
        <x:v>303</x:v>
      </x:c>
      <x:c r="L77" s="15" t="n">
        <x:v>67</x:v>
      </x:c>
      <x:c r="M77" s="15" t="n">
        <x:v>60</x:v>
      </x:c>
      <x:c r="N77" s="15" t="n">
        <x:v>4</x:v>
      </x:c>
      <x:c r="O77" s="15" t="n">
        <x:v>4</x:v>
      </x:c>
      <x:c r="P77" s="15" t="n">
        <x:v>3</x:v>
      </x:c>
      <x:c r="Q77" s="15" t="n">
        <x:v>1</x:v>
      </x:c>
      <x:c r="R77" s="15" t="n">
        <x:v>1</x:v>
      </x:c>
      <x:c r="S77" s="15" t="n">
        <x:v>1</x:v>
      </x:c>
    </x:row>
    <x:row r="78" ht="24" customHeight="1">
      <x:c r="A78" s="15" t="str">
        <x:v>blocks_30m</x:v>
      </x:c>
      <x:c r="B78" s="15" t="str">
        <x:v>DDOS_attack-HOIC</x:v>
      </x:c>
      <x:c r="C78" s="15" t="n">
        <x:v>155</x:v>
      </x:c>
      <x:c r="D78" s="15" t="n">
        <x:v>104</x:v>
      </x:c>
      <x:c r="E78" s="15" t="n">
        <x:v>30</x:v>
      </x:c>
      <x:c r="F78" s="15" t="n">
        <x:v>51</x:v>
      </x:c>
      <x:c r="G78" s="17" t="n">
        <x:v>0</x:v>
      </x:c>
      <x:c r="H78" s="17" t="n">
        <x:v>0</x:v>
      </x:c>
      <x:c r="I78" s="17" t="n">
        <x:v>0</x:v>
      </x:c>
      <x:c r="J78" s="17" t="n">
        <x:v>1</x:v>
      </x:c>
      <x:c r="K78" s="15" t="n">
        <x:v>455764</x:v>
      </x:c>
      <x:c r="L78" s="15" t="n">
        <x:v>366064</x:v>
      </x:c>
      <x:c r="M78" s="15" t="n">
        <x:v>53532</x:v>
      </x:c>
      <x:c r="N78" s="15" t="n">
        <x:v>10</x:v>
      </x:c>
      <x:c r="O78" s="15" t="n">
        <x:v>10</x:v>
      </x:c>
      <x:c r="P78" s="15" t="n">
        <x:v>10</x:v>
      </x:c>
      <x:c r="Q78" s="15" t="n">
        <x:v>1</x:v>
      </x:c>
      <x:c r="R78" s="15" t="n">
        <x:v>1</x:v>
      </x:c>
      <x:c r="S78" s="15" t="n">
        <x:v>1</x:v>
      </x:c>
    </x:row>
    <x:row r="79" ht="24" customHeight="1">
      <x:c r="A79" s="15" t="str">
        <x:v>blocks_30m</x:v>
      </x:c>
      <x:c r="B79" s="15" t="str">
        <x:v>DDOS_attack-LOIC-UDP</x:v>
      </x:c>
      <x:c r="C79" s="15" t="n">
        <x:v>188</x:v>
      </x:c>
      <x:c r="D79" s="15" t="n">
        <x:v>0</x:v>
      </x:c>
      <x:c r="E79" s="15" t="n">
        <x:v>0</x:v>
      </x:c>
      <x:c r="F79" s="15" t="n">
        <x:v>0</x:v>
      </x:c>
      <x:c r="G79" s="17" t="n">
        <x:v>0</x:v>
      </x:c>
      <x:c r="H79" s="17" t="n">
        <x:v>0</x:v>
      </x:c>
      <x:c r="I79" s="17" t="n">
        <x:v>0</x:v>
      </x:c>
      <x:c r="J79" s="17" t="n">
        <x:v>0</x:v>
      </x:c>
      <x:c r="K79" s="15" t="n">
        <x:v>3450</x:v>
      </x:c>
      <x:c r="L79" s="15" t="n">
        <x:v>0</x:v>
      </x:c>
      <x:c r="M79" s="15" t="n">
        <x:v>0</x:v>
      </x:c>
      <x:c r="N79" s="15" t="n">
        <x:v>10</x:v>
      </x:c>
      <x:c r="O79" s="15" t="n">
        <x:v>0</x:v>
      </x:c>
      <x:c r="P79" s="15" t="n">
        <x:v>0</x:v>
      </x:c>
      <x:c r="Q79" s="15" t="n">
        <x:v>1</x:v>
      </x:c>
      <x:c r="R79" s="15" t="n">
        <x:v>0</x:v>
      </x:c>
      <x:c r="S79" s="15" t="n">
        <x:v>0</x:v>
      </x:c>
    </x:row>
    <x:row r="80" ht="24" customHeight="1">
      <x:c r="A80" s="15" t="str">
        <x:v>blocks_30m</x:v>
      </x:c>
      <x:c r="B80" s="15" t="str">
        <x:v>DDoS_attacks-LOIC-HTTP</x:v>
      </x:c>
      <x:c r="C80" s="15" t="n">
        <x:v>361</x:v>
      </x:c>
      <x:c r="D80" s="15" t="n">
        <x:v>0</x:v>
      </x:c>
      <x:c r="E80" s="15" t="n">
        <x:v>80</x:v>
      </x:c>
      <x:c r="F80" s="15" t="n">
        <x:v>30</x:v>
      </x:c>
      <x:c r="G80" s="17" t="n">
        <x:v>0</x:v>
      </x:c>
      <x:c r="H80" s="17" t="n">
        <x:v>0</x:v>
      </x:c>
      <x:c r="I80" s="17" t="n">
        <x:v>0</x:v>
      </x:c>
      <x:c r="J80" s="17" t="n">
        <x:v>0</x:v>
      </x:c>
      <x:c r="K80" s="15" t="n">
        <x:v>203151</x:v>
      </x:c>
      <x:c r="L80" s="15" t="n">
        <x:v>0</x:v>
      </x:c>
      <x:c r="M80" s="15" t="n">
        <x:v>62109</x:v>
      </x:c>
      <x:c r="N80" s="15" t="n">
        <x:v>10</x:v>
      </x:c>
      <x:c r="O80" s="15" t="n">
        <x:v>0</x:v>
      </x:c>
      <x:c r="P80" s="15" t="n">
        <x:v>10</x:v>
      </x:c>
      <x:c r="Q80" s="15" t="n">
        <x:v>3</x:v>
      </x:c>
      <x:c r="R80" s="15" t="n">
        <x:v>0</x:v>
      </x:c>
      <x:c r="S80" s="15" t="n">
        <x:v>1</x:v>
      </x:c>
    </x:row>
    <x:row r="81" ht="24" customHeight="1">
      <x:c r="A81" s="15" t="str">
        <x:v>blocks_30m</x:v>
      </x:c>
      <x:c r="B81" s="15" t="str">
        <x:v>DoS_attacks-GoldenEye</x:v>
      </x:c>
      <x:c r="C81" s="15" t="n">
        <x:v>0</x:v>
      </x:c>
      <x:c r="D81" s="15" t="n">
        <x:v>0</x:v>
      </x:c>
      <x:c r="E81" s="15" t="n">
        <x:v>11</x:v>
      </x:c>
      <x:c r="F81" s="15" t="n">
        <x:v>3</x:v>
      </x:c>
      <x:c r="G81" s="17" t="n">
        <x:v>1</x:v>
      </x:c>
      <x:c r="H81" s="17" t="n">
        <x:v>1</x:v>
      </x:c>
      <x:c r="I81" s="17" t="n">
        <x:v>0</x:v>
      </x:c>
      <x:c r="J81" s="17" t="n">
        <x:v>0</x:v>
      </x:c>
      <x:c r="K81" s="15" t="n">
        <x:v>0</x:v>
      </x:c>
      <x:c r="L81" s="15" t="n">
        <x:v>0</x:v>
      </x:c>
      <x:c r="M81" s="15" t="n">
        <x:v>47108</x:v>
      </x:c>
      <x:c r="N81" s="15" t="n">
        <x:v>0</x:v>
      </x:c>
      <x:c r="O81" s="15" t="n">
        <x:v>0</x:v>
      </x:c>
      <x:c r="P81" s="15" t="n">
        <x:v>1</x:v>
      </x:c>
      <x:c r="Q81" s="15" t="n">
        <x:v>0</x:v>
      </x:c>
      <x:c r="R81" s="15" t="n">
        <x:v>0</x:v>
      </x:c>
      <x:c r="S81" s="15" t="n">
        <x:v>4</x:v>
      </x:c>
    </x:row>
    <x:row r="82" ht="24" customHeight="1">
      <x:c r="A82" s="15" t="str">
        <x:v>blocks_30m</x:v>
      </x:c>
      <x:c r="B82" s="15" t="str">
        <x:v>DoS_attacks-Hulk</x:v>
      </x:c>
      <x:c r="C82" s="15" t="n">
        <x:v>0</x:v>
      </x:c>
      <x:c r="D82" s="15" t="n">
        <x:v>6</x:v>
      </x:c>
      <x:c r="E82" s="15" t="n">
        <x:v>0</x:v>
      </x:c>
      <x:c r="F82" s="15" t="n">
        <x:v>3</x:v>
      </x:c>
      <x:c r="G82" s="17" t="n">
        <x:v>0</x:v>
      </x:c>
      <x:c r="H82" s="17" t="n">
        <x:v>0</x:v>
      </x:c>
      <x:c r="I82" s="17" t="n">
        <x:v>1</x:v>
      </x:c>
      <x:c r="J82" s="17" t="n">
        <x:v>0</x:v>
      </x:c>
      <x:c r="K82" s="15" t="n">
        <x:v>0</x:v>
      </x:c>
      <x:c r="L82" s="15" t="n">
        <x:v>75640</x:v>
      </x:c>
      <x:c r="M82" s="15" t="n">
        <x:v>0</x:v>
      </x:c>
      <x:c r="N82" s="15" t="n">
        <x:v>0</x:v>
      </x:c>
      <x:c r="O82" s="15" t="n">
        <x:v>1</x:v>
      </x:c>
      <x:c r="P82" s="15" t="n">
        <x:v>0</x:v>
      </x:c>
      <x:c r="Q82" s="15" t="n">
        <x:v>0</x:v>
      </x:c>
      <x:c r="R82" s="15" t="n">
        <x:v>1</x:v>
      </x:c>
      <x:c r="S82" s="15" t="n">
        <x:v>0</x:v>
      </x:c>
    </x:row>
    <x:row r="83" ht="24" customHeight="1">
      <x:c r="A83" s="15" t="str">
        <x:v>blocks_30m</x:v>
      </x:c>
      <x:c r="B83" s="15" t="str">
        <x:v>DoS_attacks-SlowHTTPTest</x:v>
      </x:c>
      <x:c r="C83" s="15" t="n">
        <x:v>16</x:v>
      </x:c>
      <x:c r="D83" s="15" t="n">
        <x:v>3</x:v>
      </x:c>
      <x:c r="E83" s="15" t="n">
        <x:v>10</x:v>
      </x:c>
      <x:c r="F83" s="15" t="n">
        <x:v>4</x:v>
      </x:c>
      <x:c r="G83" s="17" t="n">
        <x:v>0</x:v>
      </x:c>
      <x:c r="H83" s="17" t="n">
        <x:v>0</x:v>
      </x:c>
      <x:c r="I83" s="17" t="n">
        <x:v>0</x:v>
      </x:c>
      <x:c r="J83" s="17" t="n">
        <x:v>1</x:v>
      </x:c>
      <x:c r="K83" s="15" t="n">
        <x:v>53100</x:v>
      </x:c>
      <x:c r="L83" s="15" t="n">
        <x:v>7100</x:v>
      </x:c>
      <x:c r="M83" s="15" t="n">
        <x:v>32070</x:v>
      </x:c>
      <x:c r="N83" s="15" t="n">
        <x:v>1</x:v>
      </x:c>
      <x:c r="O83" s="15" t="n">
        <x:v>1</x:v>
      </x:c>
      <x:c r="P83" s="15" t="n">
        <x:v>1</x:v>
      </x:c>
      <x:c r="Q83" s="15" t="n">
        <x:v>1</x:v>
      </x:c>
      <x:c r="R83" s="15" t="n">
        <x:v>1</x:v>
      </x:c>
      <x:c r="S83" s="15" t="n">
        <x:v>1</x:v>
      </x:c>
    </x:row>
    <x:row r="84" ht="24" customHeight="1">
      <x:c r="A84" s="15" t="str">
        <x:v>blocks_30m</x:v>
      </x:c>
      <x:c r="B84" s="15" t="str">
        <x:v>DoS_attacks-Slowloris</x:v>
      </x:c>
      <x:c r="C84" s="15" t="n">
        <x:v>6</x:v>
      </x:c>
      <x:c r="D84" s="15" t="n">
        <x:v>0</x:v>
      </x:c>
      <x:c r="E84" s="15" t="n">
        <x:v>15</x:v>
      </x:c>
      <x:c r="F84" s="15" t="n">
        <x:v>4</x:v>
      </x:c>
      <x:c r="G84" s="17" t="n">
        <x:v>0</x:v>
      </x:c>
      <x:c r="H84" s="17" t="n">
        <x:v>0</x:v>
      </x:c>
      <x:c r="I84" s="17" t="n">
        <x:v>0</x:v>
      </x:c>
      <x:c r="J84" s="17" t="n">
        <x:v>0</x:v>
      </x:c>
      <x:c r="K84" s="15" t="n">
        <x:v>8914</x:v>
      </x:c>
      <x:c r="L84" s="15" t="n">
        <x:v>0</x:v>
      </x:c>
      <x:c r="M84" s="15" t="n">
        <x:v>21416</x:v>
      </x:c>
      <x:c r="N84" s="15" t="n">
        <x:v>1</x:v>
      </x:c>
      <x:c r="O84" s="15" t="n">
        <x:v>0</x:v>
      </x:c>
      <x:c r="P84" s="15" t="n">
        <x:v>1</x:v>
      </x:c>
      <x:c r="Q84" s="15" t="n">
        <x:v>1</x:v>
      </x:c>
      <x:c r="R84" s="15" t="n">
        <x:v>0</x:v>
      </x:c>
      <x:c r="S84" s="15" t="n">
        <x:v>1</x:v>
      </x:c>
    </x:row>
    <x:row r="85" ht="24" customHeight="1">
      <x:c r="A85" s="15" t="str">
        <x:v>blocks_30m</x:v>
      </x:c>
      <x:c r="B85" s="15" t="str">
        <x:v>FTP-BruteForce</x:v>
      </x:c>
      <x:c r="C85" s="15" t="n">
        <x:v>39</x:v>
      </x:c>
      <x:c r="D85" s="15" t="n">
        <x:v>16</x:v>
      </x:c>
      <x:c r="E85" s="15" t="n">
        <x:v>0</x:v>
      </x:c>
      <x:c r="F85" s="15" t="n">
        <x:v>4</x:v>
      </x:c>
      <x:c r="G85" s="17" t="n">
        <x:v>0</x:v>
      </x:c>
      <x:c r="H85" s="17" t="n">
        <x:v>0</x:v>
      </x:c>
      <x:c r="I85" s="17" t="n">
        <x:v>0</x:v>
      </x:c>
      <x:c r="J85" s="17" t="n">
        <x:v>0</x:v>
      </x:c>
      <x:c r="K85" s="15" t="n">
        <x:v>253940</x:v>
      </x:c>
      <x:c r="L85" s="15" t="n">
        <x:v>106220</x:v>
      </x:c>
      <x:c r="M85" s="15" t="n">
        <x:v>0</x:v>
      </x:c>
      <x:c r="N85" s="15" t="n">
        <x:v>1</x:v>
      </x:c>
      <x:c r="O85" s="15" t="n">
        <x:v>1</x:v>
      </x:c>
      <x:c r="P85" s="15" t="n">
        <x:v>0</x:v>
      </x:c>
      <x:c r="Q85" s="15" t="n">
        <x:v>1</x:v>
      </x:c>
      <x:c r="R85" s="15" t="n">
        <x:v>1</x:v>
      </x:c>
      <x:c r="S85" s="15" t="n">
        <x:v>0</x:v>
      </x:c>
    </x:row>
    <x:row r="86" ht="24" customHeight="1">
      <x:c r="A86" s="15" t="str">
        <x:v>blocks_30m</x:v>
      </x:c>
      <x:c r="B86" s="15" t="str">
        <x:v>Infilteration</x:v>
      </x:c>
      <x:c r="C86" s="15" t="n">
        <x:v>3829</x:v>
      </x:c>
      <x:c r="D86" s="15" t="n">
        <x:v>578</x:v>
      </x:c>
      <x:c r="E86" s="15" t="n">
        <x:v>1643</x:v>
      </x:c>
      <x:c r="F86" s="15" t="n">
        <x:v>584</x:v>
      </x:c>
      <x:c r="G86" s="17" t="n">
        <x:v>0</x:v>
      </x:c>
      <x:c r="H86" s="17" t="n">
        <x:v>0</x:v>
      </x:c>
      <x:c r="I86" s="17" t="n">
        <x:v>0</x:v>
      </x:c>
      <x:c r="J86" s="17" t="n">
        <x:v>1</x:v>
      </x:c>
      <x:c r="K86" s="15" t="n">
        <x:v>114871</x:v>
      </x:c>
      <x:c r="L86" s="15" t="n">
        <x:v>7931</x:v>
      </x:c>
      <x:c r="M86" s="15" t="n">
        <x:v>43370</x:v>
      </x:c>
      <x:c r="N86" s="15" t="n">
        <x:v>419</x:v>
      </x:c>
      <x:c r="O86" s="15" t="n">
        <x:v>19</x:v>
      </x:c>
      <x:c r="P86" s="15" t="n">
        <x:v>241</x:v>
      </x:c>
      <x:c r="Q86" s="15" t="n">
        <x:v>3</x:v>
      </x:c>
      <x:c r="R86" s="15" t="n">
        <x:v>2</x:v>
      </x:c>
      <x:c r="S86" s="15" t="n">
        <x:v>2</x:v>
      </x:c>
    </x:row>
    <x:row r="87" ht="24" customHeight="1">
      <x:c r="A87" s="15" t="str">
        <x:v>blocks_30m</x:v>
      </x:c>
      <x:c r="B87" s="15" t="str">
        <x:v>SQL_Injection</x:v>
      </x:c>
      <x:c r="C87" s="15" t="n">
        <x:v>233</x:v>
      </x:c>
      <x:c r="D87" s="15" t="n">
        <x:v>59</x:v>
      </x:c>
      <x:c r="E87" s="15" t="n">
        <x:v>55</x:v>
      </x:c>
      <x:c r="F87" s="15" t="n">
        <x:v>41</x:v>
      </x:c>
      <x:c r="G87" s="17" t="n">
        <x:v>0</x:v>
      </x:c>
      <x:c r="H87" s="17" t="n">
        <x:v>0</x:v>
      </x:c>
      <x:c r="I87" s="17" t="n">
        <x:v>0</x:v>
      </x:c>
      <x:c r="J87" s="17" t="n">
        <x:v>1</x:v>
      </x:c>
      <x:c r="K87" s="15" t="n">
        <x:v>277</x:v>
      </x:c>
      <x:c r="L87" s="15" t="n">
        <x:v>65</x:v>
      </x:c>
      <x:c r="M87" s="15" t="n">
        <x:v>55</x:v>
      </x:c>
      <x:c r="N87" s="15" t="n">
        <x:v>4</x:v>
      </x:c>
      <x:c r="O87" s="15" t="n">
        <x:v>4</x:v>
      </x:c>
      <x:c r="P87" s="15" t="n">
        <x:v>3</x:v>
      </x:c>
      <x:c r="Q87" s="15" t="n">
        <x:v>1</x:v>
      </x:c>
      <x:c r="R87" s="15" t="n">
        <x:v>1</x:v>
      </x:c>
      <x:c r="S87" s="15" t="n">
        <x:v>1</x:v>
      </x:c>
    </x:row>
    <x:row r="88" ht="24" customHeight="1">
      <x:c r="A88" s="15" t="str">
        <x:v>blocks_30m</x:v>
      </x:c>
      <x:c r="B88" s="15" t="str">
        <x:v>SSH-Bruteforce</x:v>
      </x:c>
      <x:c r="C88" s="15" t="n">
        <x:v>15</x:v>
      </x:c>
      <x:c r="D88" s="15" t="n">
        <x:v>1</x:v>
      </x:c>
      <x:c r="E88" s="15" t="n">
        <x:v>33</x:v>
      </x:c>
      <x:c r="F88" s="15" t="n">
        <x:v>7</x:v>
      </x:c>
      <x:c r="G88" s="17" t="n">
        <x:v>0</x:v>
      </x:c>
      <x:c r="H88" s="17" t="n">
        <x:v>0</x:v>
      </x:c>
      <x:c r="I88" s="17" t="n">
        <x:v>0</x:v>
      </x:c>
      <x:c r="J88" s="17" t="n">
        <x:v>1</x:v>
      </x:c>
      <x:c r="K88" s="15" t="n">
        <x:v>51886</x:v>
      </x:c>
      <x:c r="L88" s="15" t="n">
        <x:v>1792</x:v>
      </x:c>
      <x:c r="M88" s="15" t="n">
        <x:v>113916</x:v>
      </x:c>
      <x:c r="N88" s="15" t="n">
        <x:v>1</x:v>
      </x:c>
      <x:c r="O88" s="15" t="n">
        <x:v>1</x:v>
      </x:c>
      <x:c r="P88" s="15" t="n">
        <x:v>1</x:v>
      </x:c>
      <x:c r="Q88" s="15" t="n">
        <x:v>1</x:v>
      </x:c>
      <x:c r="R88" s="15" t="n">
        <x:v>1</x:v>
      </x:c>
      <x:c r="S88" s="15" t="n">
        <x:v>1</x:v>
      </x:c>
    </x:row>
    <x:row r="89" ht="24" customHeight="1">
      <x:c r="A89" s="15" t="str">
        <x:v>blocks_60m</x:v>
      </x:c>
      <x:c r="B89" s="15" t="str">
        <x:v>Bot</x:v>
      </x:c>
      <x:c r="C89" s="15" t="n">
        <x:v>1254</x:v>
      </x:c>
      <x:c r="D89" s="15" t="n">
        <x:v>116</x:v>
      </x:c>
      <x:c r="E89" s="15" t="n">
        <x:v>0</x:v>
      </x:c>
      <x:c r="F89" s="15" t="n">
        <x:v>17</x:v>
      </x:c>
      <x:c r="G89" s="17" t="n">
        <x:v>0</x:v>
      </x:c>
      <x:c r="H89" s="17" t="n">
        <x:v>0</x:v>
      </x:c>
      <x:c r="I89" s="17" t="n">
        <x:v>0</x:v>
      </x:c>
      <x:c r="J89" s="17" t="n">
        <x:v>0</x:v>
      </x:c>
      <x:c r="K89" s="15" t="n">
        <x:v>189320</x:v>
      </x:c>
      <x:c r="L89" s="15" t="n">
        <x:v>16794</x:v>
      </x:c>
      <x:c r="M89" s="15" t="n">
        <x:v>0</x:v>
      </x:c>
      <x:c r="N89" s="15" t="n">
        <x:v>8</x:v>
      </x:c>
      <x:c r="O89" s="15" t="n">
        <x:v>8</x:v>
      </x:c>
      <x:c r="P89" s="15" t="n">
        <x:v>0</x:v>
      </x:c>
      <x:c r="Q89" s="15" t="n">
        <x:v>1</x:v>
      </x:c>
      <x:c r="R89" s="15" t="n">
        <x:v>1</x:v>
      </x:c>
      <x:c r="S89" s="15" t="n">
        <x:v>0</x:v>
      </x:c>
    </x:row>
    <x:row r="90" ht="24" customHeight="1">
      <x:c r="A90" s="15" t="str">
        <x:v>blocks_60m</x:v>
      </x:c>
      <x:c r="B90" s="15" t="str">
        <x:v>Brute_Force_-Web</x:v>
      </x:c>
      <x:c r="C90" s="15" t="n">
        <x:v>609</x:v>
      </x:c>
      <x:c r="D90" s="15" t="n">
        <x:v>350</x:v>
      </x:c>
      <x:c r="E90" s="15" t="n">
        <x:v>286</x:v>
      </x:c>
      <x:c r="F90" s="15" t="n">
        <x:v>50</x:v>
      </x:c>
      <x:c r="G90" s="17" t="n">
        <x:v>0</x:v>
      </x:c>
      <x:c r="H90" s="17" t="n">
        <x:v>0</x:v>
      </x:c>
      <x:c r="I90" s="17" t="n">
        <x:v>0</x:v>
      </x:c>
      <x:c r="J90" s="17" t="n">
        <x:v>1</x:v>
      </x:c>
      <x:c r="K90" s="15" t="n">
        <x:v>747</x:v>
      </x:c>
      <x:c r="L90" s="15" t="n">
        <x:v>417</x:v>
      </x:c>
      <x:c r="M90" s="15" t="n">
        <x:v>392</x:v>
      </x:c>
      <x:c r="N90" s="15" t="n">
        <x:v>291</x:v>
      </x:c>
      <x:c r="O90" s="15" t="n">
        <x:v>228</x:v>
      </x:c>
      <x:c r="P90" s="15" t="n">
        <x:v>127</x:v>
      </x:c>
      <x:c r="Q90" s="15" t="n">
        <x:v>1</x:v>
      </x:c>
      <x:c r="R90" s="15" t="n">
        <x:v>1</x:v>
      </x:c>
      <x:c r="S90" s="15" t="n">
        <x:v>1</x:v>
      </x:c>
    </x:row>
    <x:row r="91" ht="24" customHeight="1">
      <x:c r="A91" s="15" t="str">
        <x:v>blocks_60m</x:v>
      </x:c>
      <x:c r="B91" s="15" t="str">
        <x:v>Brute_Force_-XSS</x:v>
      </x:c>
      <x:c r="C91" s="15" t="n">
        <x:v>223</x:v>
      </x:c>
      <x:c r="D91" s="15" t="n">
        <x:v>132</x:v>
      </x:c>
      <x:c r="E91" s="15" t="n">
        <x:v>65</x:v>
      </x:c>
      <x:c r="F91" s="15" t="n">
        <x:v>22</x:v>
      </x:c>
      <x:c r="G91" s="17" t="n">
        <x:v>0</x:v>
      </x:c>
      <x:c r="H91" s="17" t="n">
        <x:v>0</x:v>
      </x:c>
      <x:c r="I91" s="17" t="n">
        <x:v>0</x:v>
      </x:c>
      <x:c r="J91" s="17" t="n">
        <x:v>1</x:v>
      </x:c>
      <x:c r="K91" s="15" t="n">
        <x:v>250</x:v>
      </x:c>
      <x:c r="L91" s="15" t="n">
        <x:v>139</x:v>
      </x:c>
      <x:c r="M91" s="15" t="n">
        <x:v>68</x:v>
      </x:c>
      <x:c r="N91" s="15" t="n">
        <x:v>4</x:v>
      </x:c>
      <x:c r="O91" s="15" t="n">
        <x:v>3</x:v>
      </x:c>
      <x:c r="P91" s="15" t="n">
        <x:v>4</x:v>
      </x:c>
      <x:c r="Q91" s="15" t="n">
        <x:v>1</x:v>
      </x:c>
      <x:c r="R91" s="15" t="n">
        <x:v>1</x:v>
      </x:c>
      <x:c r="S91" s="15" t="n">
        <x:v>1</x:v>
      </x:c>
    </x:row>
    <x:row r="92" ht="24" customHeight="1">
      <x:c r="A92" s="15" t="str">
        <x:v>blocks_60m</x:v>
      </x:c>
      <x:c r="B92" s="15" t="str">
        <x:v>DDOS_attack-HOIC</x:v>
      </x:c>
      <x:c r="C92" s="15" t="n">
        <x:v>30</x:v>
      </x:c>
      <x:c r="D92" s="15" t="n">
        <x:v>285</x:v>
      </x:c>
      <x:c r="E92" s="15" t="n">
        <x:v>0</x:v>
      </x:c>
      <x:c r="F92" s="15" t="n">
        <x:v>25</x:v>
      </x:c>
      <x:c r="G92" s="17" t="n">
        <x:v>0</x:v>
      </x:c>
      <x:c r="H92" s="17" t="n">
        <x:v>0</x:v>
      </x:c>
      <x:c r="I92" s="17" t="n">
        <x:v>0</x:v>
      </x:c>
      <x:c r="J92" s="17" t="n">
        <x:v>0</x:v>
      </x:c>
      <x:c r="K92" s="15" t="n">
        <x:v>53532</x:v>
      </x:c>
      <x:c r="L92" s="15" t="n">
        <x:v>919329</x:v>
      </x:c>
      <x:c r="M92" s="15" t="n">
        <x:v>0</x:v>
      </x:c>
      <x:c r="N92" s="15" t="n">
        <x:v>10</x:v>
      </x:c>
      <x:c r="O92" s="15" t="n">
        <x:v>10</x:v>
      </x:c>
      <x:c r="P92" s="15" t="n">
        <x:v>0</x:v>
      </x:c>
      <x:c r="Q92" s="15" t="n">
        <x:v>1</x:v>
      </x:c>
      <x:c r="R92" s="15" t="n">
        <x:v>1</x:v>
      </x:c>
      <x:c r="S92" s="15" t="n">
        <x:v>0</x:v>
      </x:c>
    </x:row>
    <x:row r="93" ht="24" customHeight="1">
      <x:c r="A93" s="15" t="str">
        <x:v>blocks_60m</x:v>
      </x:c>
      <x:c r="B93" s="15" t="str">
        <x:v>DDOS_attack-LOIC-UDP</x:v>
      </x:c>
      <x:c r="C93" s="15" t="n">
        <x:v>188</x:v>
      </x:c>
      <x:c r="D93" s="15" t="n">
        <x:v>0</x:v>
      </x:c>
      <x:c r="E93" s="15" t="n">
        <x:v>0</x:v>
      </x:c>
      <x:c r="F93" s="15" t="n">
        <x:v>0</x:v>
      </x:c>
      <x:c r="G93" s="17" t="n">
        <x:v>0</x:v>
      </x:c>
      <x:c r="H93" s="17" t="n">
        <x:v>0</x:v>
      </x:c>
      <x:c r="I93" s="17" t="n">
        <x:v>0</x:v>
      </x:c>
      <x:c r="J93" s="17" t="n">
        <x:v>0</x:v>
      </x:c>
      <x:c r="K93" s="15" t="n">
        <x:v>3450</x:v>
      </x:c>
      <x:c r="L93" s="15" t="n">
        <x:v>0</x:v>
      </x:c>
      <x:c r="M93" s="15" t="n">
        <x:v>0</x:v>
      </x:c>
      <x:c r="N93" s="15" t="n">
        <x:v>10</x:v>
      </x:c>
      <x:c r="O93" s="15" t="n">
        <x:v>0</x:v>
      </x:c>
      <x:c r="P93" s="15" t="n">
        <x:v>0</x:v>
      </x:c>
      <x:c r="Q93" s="15" t="n">
        <x:v>1</x:v>
      </x:c>
      <x:c r="R93" s="15" t="n">
        <x:v>0</x:v>
      </x:c>
      <x:c r="S93" s="15" t="n">
        <x:v>0</x:v>
      </x:c>
    </x:row>
    <x:row r="94" ht="24" customHeight="1">
      <x:c r="A94" s="15" t="str">
        <x:v>blocks_60m</x:v>
      </x:c>
      <x:c r="B94" s="15" t="str">
        <x:v>DDoS_attacks-LOIC-HTTP</x:v>
      </x:c>
      <x:c r="C94" s="15" t="n">
        <x:v>181</x:v>
      </x:c>
      <x:c r="D94" s="15" t="n">
        <x:v>260</x:v>
      </x:c>
      <x:c r="E94" s="15" t="n">
        <x:v>0</x:v>
      </x:c>
      <x:c r="F94" s="15" t="n">
        <x:v>30</x:v>
      </x:c>
      <x:c r="G94" s="17" t="n">
        <x:v>0</x:v>
      </x:c>
      <x:c r="H94" s="17" t="n">
        <x:v>0</x:v>
      </x:c>
      <x:c r="I94" s="17" t="n">
        <x:v>0</x:v>
      </x:c>
      <x:c r="J94" s="17" t="n">
        <x:v>0</x:v>
      </x:c>
      <x:c r="K94" s="15" t="n">
        <x:v>62819</x:v>
      </x:c>
      <x:c r="L94" s="15" t="n">
        <x:v>202378</x:v>
      </x:c>
      <x:c r="M94" s="15" t="n">
        <x:v>0</x:v>
      </x:c>
      <x:c r="N94" s="15" t="n">
        <x:v>10</x:v>
      </x:c>
      <x:c r="O94" s="15" t="n">
        <x:v>10</x:v>
      </x:c>
      <x:c r="P94" s="15" t="n">
        <x:v>0</x:v>
      </x:c>
      <x:c r="Q94" s="15" t="n">
        <x:v>3</x:v>
      </x:c>
      <x:c r="R94" s="15" t="n">
        <x:v>1</x:v>
      </x:c>
      <x:c r="S94" s="15" t="n">
        <x:v>0</x:v>
      </x:c>
    </x:row>
    <x:row r="95" ht="24" customHeight="1">
      <x:c r="A95" s="15" t="str">
        <x:v>blocks_60m</x:v>
      </x:c>
      <x:c r="B95" s="15" t="str">
        <x:v>DoS_attacks-GoldenEye</x:v>
      </x:c>
      <x:c r="C95" s="15" t="n">
        <x:v>2</x:v>
      </x:c>
      <x:c r="D95" s="15" t="n">
        <x:v>0</x:v>
      </x:c>
      <x:c r="E95" s="15" t="n">
        <x:v>12</x:v>
      </x:c>
      <x:c r="F95" s="15" t="n">
        <x:v>0</x:v>
      </x:c>
      <x:c r="G95" s="17" t="n">
        <x:v>0</x:v>
      </x:c>
      <x:c r="H95" s="17" t="n">
        <x:v>0</x:v>
      </x:c>
      <x:c r="I95" s="17" t="n">
        <x:v>0</x:v>
      </x:c>
      <x:c r="J95" s="17" t="n">
        <x:v>0</x:v>
      </x:c>
      <x:c r="K95" s="15" t="n">
        <x:v>2072</x:v>
      </x:c>
      <x:c r="L95" s="15" t="n">
        <x:v>0</x:v>
      </x:c>
      <x:c r="M95" s="15" t="n">
        <x:v>59228</x:v>
      </x:c>
      <x:c r="N95" s="15" t="n">
        <x:v>1</x:v>
      </x:c>
      <x:c r="O95" s="15" t="n">
        <x:v>0</x:v>
      </x:c>
      <x:c r="P95" s="15" t="n">
        <x:v>1</x:v>
      </x:c>
      <x:c r="Q95" s="15" t="n">
        <x:v>2</x:v>
      </x:c>
      <x:c r="R95" s="15" t="n">
        <x:v>0</x:v>
      </x:c>
      <x:c r="S95" s="15" t="n">
        <x:v>3</x:v>
      </x:c>
    </x:row>
    <x:row r="96" ht="24" customHeight="1">
      <x:c r="A96" s="15" t="str">
        <x:v>blocks_60m</x:v>
      </x:c>
      <x:c r="B96" s="15" t="str">
        <x:v>DoS_attacks-Hulk</x:v>
      </x:c>
      <x:c r="C96" s="15" t="n">
        <x:v>0</x:v>
      </x:c>
      <x:c r="D96" s="15" t="n">
        <x:v>0</x:v>
      </x:c>
      <x:c r="E96" s="15" t="n">
        <x:v>6</x:v>
      </x:c>
      <x:c r="F96" s="15" t="n">
        <x:v>3</x:v>
      </x:c>
      <x:c r="G96" s="17" t="n">
        <x:v>1</x:v>
      </x:c>
      <x:c r="H96" s="17" t="n">
        <x:v>1</x:v>
      </x:c>
      <x:c r="I96" s="17" t="n">
        <x:v>0</x:v>
      </x:c>
      <x:c r="J96" s="17" t="n">
        <x:v>0</x:v>
      </x:c>
      <x:c r="K96" s="15" t="n">
        <x:v>0</x:v>
      </x:c>
      <x:c r="L96" s="15" t="n">
        <x:v>0</x:v>
      </x:c>
      <x:c r="M96" s="15" t="n">
        <x:v>75640</x:v>
      </x:c>
      <x:c r="N96" s="15" t="n">
        <x:v>0</x:v>
      </x:c>
      <x:c r="O96" s="15" t="n">
        <x:v>0</x:v>
      </x:c>
      <x:c r="P96" s="15" t="n">
        <x:v>1</x:v>
      </x:c>
      <x:c r="Q96" s="15" t="n">
        <x:v>0</x:v>
      </x:c>
      <x:c r="R96" s="15" t="n">
        <x:v>0</x:v>
      </x:c>
      <x:c r="S96" s="15" t="n">
        <x:v>1</x:v>
      </x:c>
    </x:row>
    <x:row r="97" ht="24" customHeight="1">
      <x:c r="A97" s="15" t="str">
        <x:v>blocks_60m</x:v>
      </x:c>
      <x:c r="B97" s="15" t="str">
        <x:v>DoS_attacks-SlowHTTPTest</x:v>
      </x:c>
      <x:c r="C97" s="15" t="n">
        <x:v>3</x:v>
      </x:c>
      <x:c r="D97" s="15" t="n">
        <x:v>28</x:v>
      </x:c>
      <x:c r="E97" s="15" t="n">
        <x:v>0</x:v>
      </x:c>
      <x:c r="F97" s="15" t="n">
        <x:v>2</x:v>
      </x:c>
      <x:c r="G97" s="17" t="n">
        <x:v>0</x:v>
      </x:c>
      <x:c r="H97" s="17" t="n">
        <x:v>0</x:v>
      </x:c>
      <x:c r="I97" s="17" t="n">
        <x:v>0</x:v>
      </x:c>
      <x:c r="J97" s="17" t="n">
        <x:v>0</x:v>
      </x:c>
      <x:c r="K97" s="15" t="n">
        <x:v>7100</x:v>
      </x:c>
      <x:c r="L97" s="15" t="n">
        <x:v>91800</x:v>
      </x:c>
      <x:c r="M97" s="15" t="n">
        <x:v>0</x:v>
      </x:c>
      <x:c r="N97" s="15" t="n">
        <x:v>1</x:v>
      </x:c>
      <x:c r="O97" s="15" t="n">
        <x:v>1</x:v>
      </x:c>
      <x:c r="P97" s="15" t="n">
        <x:v>0</x:v>
      </x:c>
      <x:c r="Q97" s="15" t="n">
        <x:v>1</x:v>
      </x:c>
      <x:c r="R97" s="15" t="n">
        <x:v>1</x:v>
      </x:c>
      <x:c r="S97" s="15" t="n">
        <x:v>0</x:v>
      </x:c>
    </x:row>
    <x:row r="98" ht="24" customHeight="1">
      <x:c r="A98" s="15" t="str">
        <x:v>blocks_60m</x:v>
      </x:c>
      <x:c r="B98" s="15" t="str">
        <x:v>DoS_attacks-Slowloris</x:v>
      </x:c>
      <x:c r="C98" s="15" t="n">
        <x:v>0</x:v>
      </x:c>
      <x:c r="D98" s="15" t="n">
        <x:v>0</x:v>
      </x:c>
      <x:c r="E98" s="15" t="n">
        <x:v>24</x:v>
      </x:c>
      <x:c r="F98" s="15" t="n">
        <x:v>1</x:v>
      </x:c>
      <x:c r="G98" s="17" t="n">
        <x:v>1</x:v>
      </x:c>
      <x:c r="H98" s="17" t="n">
        <x:v>1</x:v>
      </x:c>
      <x:c r="I98" s="17" t="n">
        <x:v>0</x:v>
      </x:c>
      <x:c r="J98" s="17" t="n">
        <x:v>0</x:v>
      </x:c>
      <x:c r="K98" s="15" t="n">
        <x:v>0</x:v>
      </x:c>
      <x:c r="L98" s="15" t="n">
        <x:v>0</x:v>
      </x:c>
      <x:c r="M98" s="15" t="n">
        <x:v>34646</x:v>
      </x:c>
      <x:c r="N98" s="15" t="n">
        <x:v>0</x:v>
      </x:c>
      <x:c r="O98" s="15" t="n">
        <x:v>0</x:v>
      </x:c>
      <x:c r="P98" s="15" t="n">
        <x:v>1</x:v>
      </x:c>
      <x:c r="Q98" s="15" t="n">
        <x:v>0</x:v>
      </x:c>
      <x:c r="R98" s="15" t="n">
        <x:v>0</x:v>
      </x:c>
      <x:c r="S98" s="15" t="n">
        <x:v>1</x:v>
      </x:c>
    </x:row>
    <x:row r="99" ht="24" customHeight="1">
      <x:c r="A99" s="15" t="str">
        <x:v>blocks_60m</x:v>
      </x:c>
      <x:c r="B99" s="15" t="str">
        <x:v>FTP-BruteForce</x:v>
      </x:c>
      <x:c r="C99" s="15" t="n">
        <x:v>21</x:v>
      </x:c>
      <x:c r="D99" s="15" t="n">
        <x:v>34</x:v>
      </x:c>
      <x:c r="E99" s="15" t="n">
        <x:v>0</x:v>
      </x:c>
      <x:c r="F99" s="15" t="n">
        <x:v>4</x:v>
      </x:c>
      <x:c r="G99" s="17" t="n">
        <x:v>0</x:v>
      </x:c>
      <x:c r="H99" s="17" t="n">
        <x:v>0</x:v>
      </x:c>
      <x:c r="I99" s="17" t="n">
        <x:v>0</x:v>
      </x:c>
      <x:c r="J99" s="17" t="n">
        <x:v>0</x:v>
      </x:c>
      <x:c r="K99" s="15" t="n">
        <x:v>134480</x:v>
      </x:c>
      <x:c r="L99" s="15" t="n">
        <x:v>225680</x:v>
      </x:c>
      <x:c r="M99" s="15" t="n">
        <x:v>0</x:v>
      </x:c>
      <x:c r="N99" s="15" t="n">
        <x:v>1</x:v>
      </x:c>
      <x:c r="O99" s="15" t="n">
        <x:v>1</x:v>
      </x:c>
      <x:c r="P99" s="15" t="n">
        <x:v>0</x:v>
      </x:c>
      <x:c r="Q99" s="15" t="n">
        <x:v>1</x:v>
      </x:c>
      <x:c r="R99" s="15" t="n">
        <x:v>1</x:v>
      </x:c>
      <x:c r="S99" s="15" t="n">
        <x:v>0</x:v>
      </x:c>
    </x:row>
    <x:row r="100" ht="24" customHeight="1">
      <x:c r="A100" s="15" t="str">
        <x:v>blocks_60m</x:v>
      </x:c>
      <x:c r="B100" s="15" t="str">
        <x:v>Infilteration</x:v>
      </x:c>
      <x:c r="C100" s="15" t="n">
        <x:v>4468</x:v>
      </x:c>
      <x:c r="D100" s="15" t="n">
        <x:v>360</x:v>
      </x:c>
      <x:c r="E100" s="15" t="n">
        <x:v>1570</x:v>
      </x:c>
      <x:c r="F100" s="15" t="n">
        <x:v>236</x:v>
      </x:c>
      <x:c r="G100" s="17" t="n">
        <x:v>0</x:v>
      </x:c>
      <x:c r="H100" s="17" t="n">
        <x:v>0</x:v>
      </x:c>
      <x:c r="I100" s="17" t="n">
        <x:v>0</x:v>
      </x:c>
      <x:c r="J100" s="17" t="n">
        <x:v>1</x:v>
      </x:c>
      <x:c r="K100" s="15" t="n">
        <x:v>141921</x:v>
      </x:c>
      <x:c r="L100" s="15" t="n">
        <x:v>4585</x:v>
      </x:c>
      <x:c r="M100" s="15" t="n">
        <x:v>35513</x:v>
      </x:c>
      <x:c r="N100" s="15" t="n">
        <x:v>511</x:v>
      </x:c>
      <x:c r="O100" s="15" t="n">
        <x:v>17</x:v>
      </x:c>
      <x:c r="P100" s="15" t="n">
        <x:v>148</x:v>
      </x:c>
      <x:c r="Q100" s="15" t="n">
        <x:v>2</x:v>
      </x:c>
      <x:c r="R100" s="15" t="n">
        <x:v>3</x:v>
      </x:c>
      <x:c r="S100" s="15" t="n">
        <x:v>2</x:v>
      </x:c>
    </x:row>
    <x:row r="101" ht="24" customHeight="1">
      <x:c r="A101" s="15" t="str">
        <x:v>blocks_60m</x:v>
      </x:c>
      <x:c r="B101" s="15" t="str">
        <x:v>SQL_Injection</x:v>
      </x:c>
      <x:c r="C101" s="15" t="n">
        <x:v>186</x:v>
      </x:c>
      <x:c r="D101" s="15" t="n">
        <x:v>187</x:v>
      </x:c>
      <x:c r="E101" s="15" t="n">
        <x:v>0</x:v>
      </x:c>
      <x:c r="F101" s="15" t="n">
        <x:v>15</x:v>
      </x:c>
      <x:c r="G101" s="17" t="n">
        <x:v>0</x:v>
      </x:c>
      <x:c r="H101" s="17" t="n">
        <x:v>0</x:v>
      </x:c>
      <x:c r="I101" s="17" t="n">
        <x:v>0</x:v>
      </x:c>
      <x:c r="J101" s="17" t="n">
        <x:v>0</x:v>
      </x:c>
      <x:c r="K101" s="15" t="n">
        <x:v>217</x:v>
      </x:c>
      <x:c r="L101" s="15" t="n">
        <x:v>208</x:v>
      </x:c>
      <x:c r="M101" s="15" t="n">
        <x:v>0</x:v>
      </x:c>
      <x:c r="N101" s="15" t="n">
        <x:v>4</x:v>
      </x:c>
      <x:c r="O101" s="15" t="n">
        <x:v>4</x:v>
      </x:c>
      <x:c r="P101" s="15" t="n">
        <x:v>0</x:v>
      </x:c>
      <x:c r="Q101" s="15" t="n">
        <x:v>1</x:v>
      </x:c>
      <x:c r="R101" s="15" t="n">
        <x:v>1</x:v>
      </x:c>
      <x:c r="S101" s="15" t="n">
        <x:v>0</x:v>
      </x:c>
    </x:row>
    <x:row r="102" ht="24" customHeight="1">
      <x:c r="A102" s="15" t="str">
        <x:v>blocks_60m</x:v>
      </x:c>
      <x:c r="B102" s="15" t="str">
        <x:v>SSH-Bruteforce</x:v>
      </x:c>
      <x:c r="C102" s="15" t="n">
        <x:v>56</x:v>
      </x:c>
      <x:c r="D102" s="15" t="n">
        <x:v>0</x:v>
      </x:c>
      <x:c r="E102" s="15" t="n">
        <x:v>0</x:v>
      </x:c>
      <x:c r="F102" s="15" t="n">
        <x:v>0</x:v>
      </x:c>
      <x:c r="G102" s="17" t="n">
        <x:v>0</x:v>
      </x:c>
      <x:c r="H102" s="17" t="n">
        <x:v>0</x:v>
      </x:c>
      <x:c r="I102" s="17" t="n">
        <x:v>0</x:v>
      </x:c>
      <x:c r="J102" s="17" t="n">
        <x:v>0</x:v>
      </x:c>
      <x:c r="K102" s="15" t="n">
        <x:v>188474</x:v>
      </x:c>
      <x:c r="L102" s="15" t="n">
        <x:v>0</x:v>
      </x:c>
      <x:c r="M102" s="15" t="n">
        <x:v>0</x:v>
      </x:c>
      <x:c r="N102" s="15" t="n">
        <x:v>1</x:v>
      </x:c>
      <x:c r="O102" s="15" t="n">
        <x:v>0</x:v>
      </x:c>
      <x:c r="P102" s="15" t="n">
        <x:v>0</x:v>
      </x:c>
      <x:c r="Q102" s="15" t="n">
        <x:v>1</x:v>
      </x:c>
      <x:c r="R102" s="15" t="n">
        <x:v>0</x:v>
      </x:c>
      <x:c r="S102" s="15" t="n">
        <x:v>0</x:v>
      </x:c>
    </x:row>
    <x:row r="103" ht="24" customHeight="1">
      <x:c r="A103" s="15" t="str">
        <x:v>guarded_30m</x:v>
      </x:c>
      <x:c r="B103" s="15" t="str">
        <x:v>Bot</x:v>
      </x:c>
      <x:c r="C103" s="15" t="n">
        <x:v>0</x:v>
      </x:c>
      <x:c r="D103" s="15" t="n">
        <x:v>1387</x:v>
      </x:c>
      <x:c r="E103" s="15" t="n">
        <x:v>0</x:v>
      </x:c>
      <x:c r="F103" s="15" t="n">
        <x:v>0</x:v>
      </x:c>
      <x:c r="G103" s="17" t="n">
        <x:v>0</x:v>
      </x:c>
      <x:c r="H103" s="17" t="n">
        <x:v>0</x:v>
      </x:c>
      <x:c r="I103" s="17" t="n">
        <x:v>1</x:v>
      </x:c>
      <x:c r="J103" s="17" t="n">
        <x:v>0</x:v>
      </x:c>
      <x:c r="K103" s="15" t="n">
        <x:v>0</x:v>
      </x:c>
      <x:c r="L103" s="15" t="n">
        <x:v>207703</x:v>
      </x:c>
      <x:c r="M103" s="15" t="n">
        <x:v>0</x:v>
      </x:c>
      <x:c r="N103" s="15" t="n">
        <x:v>0</x:v>
      </x:c>
      <x:c r="O103" s="15" t="n">
        <x:v>8</x:v>
      </x:c>
      <x:c r="P103" s="15" t="n">
        <x:v>0</x:v>
      </x:c>
      <x:c r="Q103" s="15" t="n">
        <x:v>0</x:v>
      </x:c>
      <x:c r="R103" s="15" t="n">
        <x:v>1</x:v>
      </x:c>
      <x:c r="S103" s="15" t="n">
        <x:v>0</x:v>
      </x:c>
    </x:row>
    <x:row r="104" ht="24" customHeight="1">
      <x:c r="A104" s="15" t="str">
        <x:v>guarded_30m</x:v>
      </x:c>
      <x:c r="B104" s="15" t="str">
        <x:v>Brute_Force_-Web</x:v>
      </x:c>
      <x:c r="C104" s="15" t="n">
        <x:v>1288</x:v>
      </x:c>
      <x:c r="D104" s="15" t="n">
        <x:v>0</x:v>
      </x:c>
      <x:c r="E104" s="15" t="n">
        <x:v>0</x:v>
      </x:c>
      <x:c r="F104" s="15" t="n">
        <x:v>7</x:v>
      </x:c>
      <x:c r="G104" s="17" t="n">
        <x:v>0</x:v>
      </x:c>
      <x:c r="H104" s="17" t="n">
        <x:v>0</x:v>
      </x:c>
      <x:c r="I104" s="17" t="n">
        <x:v>0</x:v>
      </x:c>
      <x:c r="J104" s="17" t="n">
        <x:v>0</x:v>
      </x:c>
      <x:c r="K104" s="15" t="n">
        <x:v>1610</x:v>
      </x:c>
      <x:c r="L104" s="15" t="n">
        <x:v>0</x:v>
      </x:c>
      <x:c r="M104" s="15" t="n">
        <x:v>0</x:v>
      </x:c>
      <x:c r="N104" s="15" t="n">
        <x:v>559</x:v>
      </x:c>
      <x:c r="O104" s="15" t="n">
        <x:v>0</x:v>
      </x:c>
      <x:c r="P104" s="15" t="n">
        <x:v>0</x:v>
      </x:c>
      <x:c r="Q104" s="15" t="n">
        <x:v>1</x:v>
      </x:c>
      <x:c r="R104" s="15" t="n">
        <x:v>0</x:v>
      </x:c>
      <x:c r="S104" s="15" t="n">
        <x:v>0</x:v>
      </x:c>
    </x:row>
    <x:row r="105" ht="24" customHeight="1">
      <x:c r="A105" s="15" t="str">
        <x:v>guarded_30m</x:v>
      </x:c>
      <x:c r="B105" s="15" t="str">
        <x:v>Brute_Force_-XSS</x:v>
      </x:c>
      <x:c r="C105" s="15" t="n">
        <x:v>440</x:v>
      </x:c>
      <x:c r="D105" s="15" t="n">
        <x:v>0</x:v>
      </x:c>
      <x:c r="E105" s="15" t="n">
        <x:v>0</x:v>
      </x:c>
      <x:c r="F105" s="15" t="n">
        <x:v>2</x:v>
      </x:c>
      <x:c r="G105" s="17" t="n">
        <x:v>0</x:v>
      </x:c>
      <x:c r="H105" s="17" t="n">
        <x:v>0</x:v>
      </x:c>
      <x:c r="I105" s="17" t="n">
        <x:v>0</x:v>
      </x:c>
      <x:c r="J105" s="17" t="n">
        <x:v>0</x:v>
      </x:c>
      <x:c r="K105" s="15" t="n">
        <x:v>478</x:v>
      </x:c>
      <x:c r="L105" s="15" t="n">
        <x:v>0</x:v>
      </x:c>
      <x:c r="M105" s="15" t="n">
        <x:v>0</x:v>
      </x:c>
      <x:c r="N105" s="15" t="n">
        <x:v>4</x:v>
      </x:c>
      <x:c r="O105" s="15" t="n">
        <x:v>0</x:v>
      </x:c>
      <x:c r="P105" s="15" t="n">
        <x:v>0</x:v>
      </x:c>
      <x:c r="Q105" s="15" t="n">
        <x:v>1</x:v>
      </x:c>
      <x:c r="R105" s="15" t="n">
        <x:v>0</x:v>
      </x:c>
      <x:c r="S105" s="15" t="n">
        <x:v>0</x:v>
      </x:c>
    </x:row>
    <x:row r="106" ht="24" customHeight="1">
      <x:c r="A106" s="15" t="str">
        <x:v>guarded_30m</x:v>
      </x:c>
      <x:c r="B106" s="15" t="str">
        <x:v>DDOS_attack-HOIC</x:v>
      </x:c>
      <x:c r="C106" s="15" t="n">
        <x:v>340</x:v>
      </x:c>
      <x:c r="D106" s="15" t="n">
        <x:v>0</x:v>
      </x:c>
      <x:c r="E106" s="15" t="n">
        <x:v>0</x:v>
      </x:c>
      <x:c r="F106" s="15" t="n">
        <x:v>0</x:v>
      </x:c>
      <x:c r="G106" s="17" t="n">
        <x:v>0</x:v>
      </x:c>
      <x:c r="H106" s="17" t="n">
        <x:v>0</x:v>
      </x:c>
      <x:c r="I106" s="17" t="n">
        <x:v>0</x:v>
      </x:c>
      <x:c r="J106" s="17" t="n">
        <x:v>0</x:v>
      </x:c>
      <x:c r="K106" s="15" t="n">
        <x:v>1032311</x:v>
      </x:c>
      <x:c r="L106" s="15" t="n">
        <x:v>0</x:v>
      </x:c>
      <x:c r="M106" s="15" t="n">
        <x:v>0</x:v>
      </x:c>
      <x:c r="N106" s="15" t="n">
        <x:v>10</x:v>
      </x:c>
      <x:c r="O106" s="15" t="n">
        <x:v>0</x:v>
      </x:c>
      <x:c r="P106" s="15" t="n">
        <x:v>0</x:v>
      </x:c>
      <x:c r="Q106" s="15" t="n">
        <x:v>1</x:v>
      </x:c>
      <x:c r="R106" s="15" t="n">
        <x:v>0</x:v>
      </x:c>
      <x:c r="S106" s="15" t="n">
        <x:v>0</x:v>
      </x:c>
    </x:row>
    <x:row r="107" ht="24" customHeight="1">
      <x:c r="A107" s="15" t="str">
        <x:v>guarded_30m</x:v>
      </x:c>
      <x:c r="B107" s="15" t="str">
        <x:v>DDOS_attack-LOIC-UDP</x:v>
      </x:c>
      <x:c r="C107" s="15" t="n">
        <x:v>0</x:v>
      </x:c>
      <x:c r="D107" s="15" t="n">
        <x:v>188</x:v>
      </x:c>
      <x:c r="E107" s="15" t="n">
        <x:v>0</x:v>
      </x:c>
      <x:c r="F107" s="15" t="n">
        <x:v>0</x:v>
      </x:c>
      <x:c r="G107" s="17" t="n">
        <x:v>0</x:v>
      </x:c>
      <x:c r="H107" s="17" t="n">
        <x:v>0</x:v>
      </x:c>
      <x:c r="I107" s="17" t="n">
        <x:v>1</x:v>
      </x:c>
      <x:c r="J107" s="17" t="n">
        <x:v>0</x:v>
      </x:c>
      <x:c r="K107" s="15" t="n">
        <x:v>0</x:v>
      </x:c>
      <x:c r="L107" s="15" t="n">
        <x:v>3450</x:v>
      </x:c>
      <x:c r="M107" s="15" t="n">
        <x:v>0</x:v>
      </x:c>
      <x:c r="N107" s="15" t="n">
        <x:v>0</x:v>
      </x:c>
      <x:c r="O107" s="15" t="n">
        <x:v>10</x:v>
      </x:c>
      <x:c r="P107" s="15" t="n">
        <x:v>0</x:v>
      </x:c>
      <x:c r="Q107" s="15" t="n">
        <x:v>0</x:v>
      </x:c>
      <x:c r="R107" s="15" t="n">
        <x:v>1</x:v>
      </x:c>
      <x:c r="S107" s="15" t="n">
        <x:v>0</x:v>
      </x:c>
    </x:row>
    <x:row r="108" ht="24" customHeight="1">
      <x:c r="A108" s="15" t="str">
        <x:v>guarded_30m</x:v>
      </x:c>
      <x:c r="B108" s="15" t="str">
        <x:v>DDoS_attacks-LOIC-HTTP</x:v>
      </x:c>
      <x:c r="C108" s="15" t="n">
        <x:v>66</x:v>
      </x:c>
      <x:c r="D108" s="15" t="n">
        <x:v>0</x:v>
      </x:c>
      <x:c r="E108" s="15" t="n">
        <x:v>384</x:v>
      </x:c>
      <x:c r="F108" s="15" t="n">
        <x:v>21</x:v>
      </x:c>
      <x:c r="G108" s="17" t="n">
        <x:v>0</x:v>
      </x:c>
      <x:c r="H108" s="17" t="n">
        <x:v>0</x:v>
      </x:c>
      <x:c r="I108" s="17" t="n">
        <x:v>0</x:v>
      </x:c>
      <x:c r="J108" s="17" t="n">
        <x:v>0</x:v>
      </x:c>
      <x:c r="K108" s="15" t="n">
        <x:v>2029</x:v>
      </x:c>
      <x:c r="L108" s="15" t="n">
        <x:v>0</x:v>
      </x:c>
      <x:c r="M108" s="15" t="n">
        <x:v>286370</x:v>
      </x:c>
      <x:c r="N108" s="15" t="n">
        <x:v>10</x:v>
      </x:c>
      <x:c r="O108" s="15" t="n">
        <x:v>0</x:v>
      </x:c>
      <x:c r="P108" s="15" t="n">
        <x:v>10</x:v>
      </x:c>
      <x:c r="Q108" s="15" t="n">
        <x:v>2</x:v>
      </x:c>
      <x:c r="R108" s="15" t="n">
        <x:v>0</x:v>
      </x:c>
      <x:c r="S108" s="15" t="n">
        <x:v>1</x:v>
      </x:c>
    </x:row>
    <x:row r="109" ht="24" customHeight="1">
      <x:c r="A109" s="15" t="str">
        <x:v>guarded_30m</x:v>
      </x:c>
      <x:c r="B109" s="15" t="str">
        <x:v>DoS_attacks-GoldenEye</x:v>
      </x:c>
      <x:c r="C109" s="15" t="n">
        <x:v>14</x:v>
      </x:c>
      <x:c r="D109" s="15" t="n">
        <x:v>0</x:v>
      </x:c>
      <x:c r="E109" s="15" t="n">
        <x:v>0</x:v>
      </x:c>
      <x:c r="F109" s="15" t="n">
        <x:v>0</x:v>
      </x:c>
      <x:c r="G109" s="17" t="n">
        <x:v>0</x:v>
      </x:c>
      <x:c r="H109" s="17" t="n">
        <x:v>0</x:v>
      </x:c>
      <x:c r="I109" s="17" t="n">
        <x:v>0</x:v>
      </x:c>
      <x:c r="J109" s="17" t="n">
        <x:v>0</x:v>
      </x:c>
      <x:c r="K109" s="15" t="n">
        <x:v>61300</x:v>
      </x:c>
      <x:c r="L109" s="15" t="n">
        <x:v>0</x:v>
      </x:c>
      <x:c r="M109" s="15" t="n">
        <x:v>0</x:v>
      </x:c>
      <x:c r="N109" s="15" t="n">
        <x:v>1</x:v>
      </x:c>
      <x:c r="O109" s="15" t="n">
        <x:v>0</x:v>
      </x:c>
      <x:c r="P109" s="15" t="n">
        <x:v>0</x:v>
      </x:c>
      <x:c r="Q109" s="15" t="n">
        <x:v>5</x:v>
      </x:c>
      <x:c r="R109" s="15" t="n">
        <x:v>0</x:v>
      </x:c>
      <x:c r="S109" s="15" t="n">
        <x:v>0</x:v>
      </x:c>
    </x:row>
    <x:row r="110" ht="24" customHeight="1">
      <x:c r="A110" s="15" t="str">
        <x:v>guarded_30m</x:v>
      </x:c>
      <x:c r="B110" s="15" t="str">
        <x:v>DoS_attacks-Hulk</x:v>
      </x:c>
      <x:c r="C110" s="15" t="n">
        <x:v>6</x:v>
      </x:c>
      <x:c r="D110" s="15" t="n">
        <x:v>0</x:v>
      </x:c>
      <x:c r="E110" s="15" t="n">
        <x:v>0</x:v>
      </x:c>
      <x:c r="F110" s="15" t="n">
        <x:v>3</x:v>
      </x:c>
      <x:c r="G110" s="17" t="n">
        <x:v>0</x:v>
      </x:c>
      <x:c r="H110" s="17" t="n">
        <x:v>0</x:v>
      </x:c>
      <x:c r="I110" s="17" t="n">
        <x:v>0</x:v>
      </x:c>
      <x:c r="J110" s="17" t="n">
        <x:v>0</x:v>
      </x:c>
      <x:c r="K110" s="15" t="n">
        <x:v>75640</x:v>
      </x:c>
      <x:c r="L110" s="15" t="n">
        <x:v>0</x:v>
      </x:c>
      <x:c r="M110" s="15" t="n">
        <x:v>0</x:v>
      </x:c>
      <x:c r="N110" s="15" t="n">
        <x:v>1</x:v>
      </x:c>
      <x:c r="O110" s="15" t="n">
        <x:v>0</x:v>
      </x:c>
      <x:c r="P110" s="15" t="n">
        <x:v>0</x:v>
      </x:c>
      <x:c r="Q110" s="15" t="n">
        <x:v>1</x:v>
      </x:c>
      <x:c r="R110" s="15" t="n">
        <x:v>0</x:v>
      </x:c>
      <x:c r="S110" s="15" t="n">
        <x:v>0</x:v>
      </x:c>
    </x:row>
    <x:row r="111" ht="24" customHeight="1">
      <x:c r="A111" s="15" t="str">
        <x:v>guarded_30m</x:v>
      </x:c>
      <x:c r="B111" s="15" t="str">
        <x:v>DoS_attacks-SlowHTTPTest</x:v>
      </x:c>
      <x:c r="C111" s="15" t="n">
        <x:v>33</x:v>
      </x:c>
      <x:c r="D111" s="15" t="n">
        <x:v>0</x:v>
      </x:c>
      <x:c r="E111" s="15" t="n">
        <x:v>0</x:v>
      </x:c>
      <x:c r="F111" s="15" t="n">
        <x:v>0</x:v>
      </x:c>
      <x:c r="G111" s="17" t="n">
        <x:v>0</x:v>
      </x:c>
      <x:c r="H111" s="17" t="n">
        <x:v>0</x:v>
      </x:c>
      <x:c r="I111" s="17" t="n">
        <x:v>0</x:v>
      </x:c>
      <x:c r="J111" s="17" t="n">
        <x:v>0</x:v>
      </x:c>
      <x:c r="K111" s="15" t="n">
        <x:v>105550</x:v>
      </x:c>
      <x:c r="L111" s="15" t="n">
        <x:v>0</x:v>
      </x:c>
      <x:c r="M111" s="15" t="n">
        <x:v>0</x:v>
      </x:c>
      <x:c r="N111" s="15" t="n">
        <x:v>1</x:v>
      </x:c>
      <x:c r="O111" s="15" t="n">
        <x:v>0</x:v>
      </x:c>
      <x:c r="P111" s="15" t="n">
        <x:v>0</x:v>
      </x:c>
      <x:c r="Q111" s="15" t="n">
        <x:v>1</x:v>
      </x:c>
      <x:c r="R111" s="15" t="n">
        <x:v>0</x:v>
      </x:c>
      <x:c r="S111" s="15" t="n">
        <x:v>0</x:v>
      </x:c>
    </x:row>
    <x:row r="112" ht="24" customHeight="1">
      <x:c r="A112" s="15" t="str">
        <x:v>guarded_30m</x:v>
      </x:c>
      <x:c r="B112" s="15" t="str">
        <x:v>DoS_attacks-Slowloris</x:v>
      </x:c>
      <x:c r="C112" s="15" t="n">
        <x:v>25</x:v>
      </x:c>
      <x:c r="D112" s="15" t="n">
        <x:v>0</x:v>
      </x:c>
      <x:c r="E112" s="15" t="n">
        <x:v>0</x:v>
      </x:c>
      <x:c r="F112" s="15" t="n">
        <x:v>0</x:v>
      </x:c>
      <x:c r="G112" s="17" t="n">
        <x:v>0</x:v>
      </x:c>
      <x:c r="H112" s="17" t="n">
        <x:v>0</x:v>
      </x:c>
      <x:c r="I112" s="17" t="n">
        <x:v>0</x:v>
      </x:c>
      <x:c r="J112" s="17" t="n">
        <x:v>0</x:v>
      </x:c>
      <x:c r="K112" s="15" t="n">
        <x:v>36040</x:v>
      </x:c>
      <x:c r="L112" s="15" t="n">
        <x:v>0</x:v>
      </x:c>
      <x:c r="M112" s="15" t="n">
        <x:v>0</x:v>
      </x:c>
      <x:c r="N112" s="15" t="n">
        <x:v>1</x:v>
      </x:c>
      <x:c r="O112" s="15" t="n">
        <x:v>0</x:v>
      </x:c>
      <x:c r="P112" s="15" t="n">
        <x:v>0</x:v>
      </x:c>
      <x:c r="Q112" s="15" t="n">
        <x:v>1</x:v>
      </x:c>
      <x:c r="R112" s="15" t="n">
        <x:v>0</x:v>
      </x:c>
      <x:c r="S112" s="15" t="n">
        <x:v>0</x:v>
      </x:c>
    </x:row>
    <x:row r="113" ht="24" customHeight="1">
      <x:c r="A113" s="15" t="str">
        <x:v>guarded_30m</x:v>
      </x:c>
      <x:c r="B113" s="15" t="str">
        <x:v>FTP-BruteForce</x:v>
      </x:c>
      <x:c r="C113" s="15" t="n">
        <x:v>59</x:v>
      </x:c>
      <x:c r="D113" s="15" t="n">
        <x:v>0</x:v>
      </x:c>
      <x:c r="E113" s="15" t="n">
        <x:v>0</x:v>
      </x:c>
      <x:c r="F113" s="15" t="n">
        <x:v>0</x:v>
      </x:c>
      <x:c r="G113" s="17" t="n">
        <x:v>0</x:v>
      </x:c>
      <x:c r="H113" s="17" t="n">
        <x:v>0</x:v>
      </x:c>
      <x:c r="I113" s="17" t="n">
        <x:v>0</x:v>
      </x:c>
      <x:c r="J113" s="17" t="n">
        <x:v>0</x:v>
      </x:c>
      <x:c r="K113" s="15" t="n">
        <x:v>386720</x:v>
      </x:c>
      <x:c r="L113" s="15" t="n">
        <x:v>0</x:v>
      </x:c>
      <x:c r="M113" s="15" t="n">
        <x:v>0</x:v>
      </x:c>
      <x:c r="N113" s="15" t="n">
        <x:v>1</x:v>
      </x:c>
      <x:c r="O113" s="15" t="n">
        <x:v>0</x:v>
      </x:c>
      <x:c r="P113" s="15" t="n">
        <x:v>0</x:v>
      </x:c>
      <x:c r="Q113" s="15" t="n">
        <x:v>1</x:v>
      </x:c>
      <x:c r="R113" s="15" t="n">
        <x:v>0</x:v>
      </x:c>
      <x:c r="S113" s="15" t="n">
        <x:v>0</x:v>
      </x:c>
    </x:row>
    <x:row r="114" ht="24" customHeight="1">
      <x:c r="A114" s="15" t="str">
        <x:v>guarded_30m</x:v>
      </x:c>
      <x:c r="B114" s="15" t="str">
        <x:v>Infilteration</x:v>
      </x:c>
      <x:c r="C114" s="15" t="n">
        <x:v>3371</x:v>
      </x:c>
      <x:c r="D114" s="15" t="n">
        <x:v>0</x:v>
      </x:c>
      <x:c r="E114" s="15" t="n">
        <x:v>3261</x:v>
      </x:c>
      <x:c r="F114" s="15" t="n">
        <x:v>2</x:v>
      </x:c>
      <x:c r="G114" s="17" t="n">
        <x:v>0</x:v>
      </x:c>
      <x:c r="H114" s="17" t="n">
        <x:v>0</x:v>
      </x:c>
      <x:c r="I114" s="17" t="n">
        <x:v>0</x:v>
      </x:c>
      <x:c r="J114" s="17" t="n">
        <x:v>0</x:v>
      </x:c>
      <x:c r="K114" s="15" t="n">
        <x:v>103783</x:v>
      </x:c>
      <x:c r="L114" s="15" t="n">
        <x:v>0</x:v>
      </x:c>
      <x:c r="M114" s="15" t="n">
        <x:v>84327</x:v>
      </x:c>
      <x:c r="N114" s="15" t="n">
        <x:v>380</x:v>
      </x:c>
      <x:c r="O114" s="15" t="n">
        <x:v>0</x:v>
      </x:c>
      <x:c r="P114" s="15" t="n">
        <x:v>294</x:v>
      </x:c>
      <x:c r="Q114" s="15" t="n">
        <x:v>2</x:v>
      </x:c>
      <x:c r="R114" s="15" t="n">
        <x:v>0</x:v>
      </x:c>
      <x:c r="S114" s="15" t="n">
        <x:v>1</x:v>
      </x:c>
    </x:row>
    <x:row r="115" ht="24" customHeight="1">
      <x:c r="A115" s="15" t="str">
        <x:v>guarded_30m</x:v>
      </x:c>
      <x:c r="B115" s="15" t="str">
        <x:v>SQL_Injection</x:v>
      </x:c>
      <x:c r="C115" s="15" t="n">
        <x:v>388</x:v>
      </x:c>
      <x:c r="D115" s="15" t="n">
        <x:v>0</x:v>
      </x:c>
      <x:c r="E115" s="15" t="n">
        <x:v>0</x:v>
      </x:c>
      <x:c r="F115" s="15" t="n">
        <x:v>0</x:v>
      </x:c>
      <x:c r="G115" s="17" t="n">
        <x:v>0</x:v>
      </x:c>
      <x:c r="H115" s="17" t="n">
        <x:v>0</x:v>
      </x:c>
      <x:c r="I115" s="17" t="n">
        <x:v>0</x:v>
      </x:c>
      <x:c r="J115" s="17" t="n">
        <x:v>0</x:v>
      </x:c>
      <x:c r="K115" s="15" t="n">
        <x:v>440</x:v>
      </x:c>
      <x:c r="L115" s="15" t="n">
        <x:v>0</x:v>
      </x:c>
      <x:c r="M115" s="15" t="n">
        <x:v>0</x:v>
      </x:c>
      <x:c r="N115" s="15" t="n">
        <x:v>4</x:v>
      </x:c>
      <x:c r="O115" s="15" t="n">
        <x:v>0</x:v>
      </x:c>
      <x:c r="P115" s="15" t="n">
        <x:v>0</x:v>
      </x:c>
      <x:c r="Q115" s="15" t="n">
        <x:v>1</x:v>
      </x:c>
      <x:c r="R115" s="15" t="n">
        <x:v>0</x:v>
      </x:c>
      <x:c r="S115" s="15" t="n">
        <x:v>0</x:v>
      </x:c>
    </x:row>
    <x:row r="116" ht="24" customHeight="1">
      <x:c r="A116" s="15" t="str">
        <x:v>guarded_30m</x:v>
      </x:c>
      <x:c r="B116" s="15" t="str">
        <x:v>SSH-Bruteforce</x:v>
      </x:c>
      <x:c r="C116" s="15" t="n">
        <x:v>56</x:v>
      </x:c>
      <x:c r="D116" s="15" t="n">
        <x:v>0</x:v>
      </x:c>
      <x:c r="E116" s="15" t="n">
        <x:v>0</x:v>
      </x:c>
      <x:c r="F116" s="15" t="n">
        <x:v>0</x:v>
      </x:c>
      <x:c r="G116" s="17" t="n">
        <x:v>0</x:v>
      </x:c>
      <x:c r="H116" s="17" t="n">
        <x:v>0</x:v>
      </x:c>
      <x:c r="I116" s="17" t="n">
        <x:v>0</x:v>
      </x:c>
      <x:c r="J116" s="17" t="n">
        <x:v>0</x:v>
      </x:c>
      <x:c r="K116" s="15" t="n">
        <x:v>188474</x:v>
      </x:c>
      <x:c r="L116" s="15" t="n">
        <x:v>0</x:v>
      </x:c>
      <x:c r="M116" s="15" t="n">
        <x:v>0</x:v>
      </x:c>
      <x:c r="N116" s="15" t="n">
        <x:v>1</x:v>
      </x:c>
      <x:c r="O116" s="15" t="n">
        <x:v>0</x:v>
      </x:c>
      <x:c r="P116" s="15" t="n">
        <x:v>0</x:v>
      </x:c>
      <x:c r="Q116" s="15" t="n">
        <x:v>1</x:v>
      </x:c>
      <x:c r="R116" s="15" t="n">
        <x:v>0</x:v>
      </x:c>
      <x:c r="S116" s="15" t="n">
        <x:v>0</x:v>
      </x:c>
    </x:row>
  </x:sheetData>
  <x:conditionalFormatting sqref="G5:G116">
    <x:cfRule type="cellIs" dxfId="0" priority="1" operator="equal">
      <x:formula>1</x:formula>
    </x:cfRule>
  </x:conditionalFormatting>
  <x:conditionalFormatting sqref="H5:H116">
    <x:cfRule type="cellIs" dxfId="1" priority="2" operator="equal">
      <x:formula>1</x:formula>
    </x:cfRule>
  </x:conditionalFormatting>
  <x:conditionalFormatting sqref="I5:I116">
    <x:cfRule type="cellIs" dxfId="2" priority="3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21a59e041c47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23" hidden="0" customWidth="1"/>
    <x:col min="10" max="10" width="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Observed attack activity; a gap-based episode is not a confirmed campaign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56" customHeight="1">
      <x:c r="A4" s="12" t="str">
        <x:v>Attack type</x:v>
      </x:c>
      <x:c r="B4" s="13" t="str">
        <x:v>Gap threshold (s)</x:v>
      </x:c>
      <x:c r="C4" s="13" t="str">
        <x:v>Candidate episodes</x:v>
      </x:c>
      <x:c r="D4" s="13" t="str">
        <x:v>UTC dates</x:v>
      </x:c>
      <x:c r="E4" s="13" t="str">
        <x:v>Sources</x:v>
      </x:c>
      <x:c r="F4" s="13" t="str">
        <x:v>100s windows</x:v>
      </x:c>
      <x:c r="G4" s="13" t="str">
        <x:v>Attack flows</x:v>
      </x:c>
      <x:c r="H4" s="13" t="str">
        <x:v>First start (UTC)</x:v>
      </x:c>
      <x:c r="I4" s="13" t="str">
        <x:v>Last start (UTC)</x:v>
      </x:c>
      <x:c r="J4" s="14" t="str">
        <x:v>Largest episode flow share</x:v>
      </x:c>
    </x:row>
    <x:row r="5" ht="24" customHeight="1">
      <x:c r="A5" s="15" t="str">
        <x:v>Bot</x:v>
      </x:c>
      <x:c r="B5" s="15" t="n">
        <x:v>60</x:v>
      </x:c>
      <x:c r="C5" s="15" t="n">
        <x:v>1</x:v>
      </x:c>
      <x:c r="D5" s="15" t="n">
        <x:v>1</x:v>
      </x:c>
      <x:c r="E5" s="15" t="n">
        <x:v>8</x:v>
      </x:c>
      <x:c r="F5" s="15" t="n">
        <x:v>1387</x:v>
      </x:c>
      <x:c r="G5" s="15" t="n">
        <x:v>207703</x:v>
      </x:c>
      <x:c r="H5" s="18" t="d">
        <x:v>2018-03-02T14:17:07.380Z</x:v>
      </x:c>
      <x:c r="I5" s="18" t="d">
        <x:v>2018-03-02T19:54:50.318Z</x:v>
      </x:c>
      <x:c r="J5" s="16" t="n">
        <x:v>1</x:v>
      </x:c>
    </x:row>
    <x:row r="6" ht="24" customHeight="1">
      <x:c r="A6" s="15" t="str">
        <x:v>Brute_Force_-Web</x:v>
      </x:c>
      <x:c r="B6" s="15" t="n">
        <x:v>60</x:v>
      </x:c>
      <x:c r="C6" s="15" t="n">
        <x:v>115</x:v>
      </x:c>
      <x:c r="D6" s="15" t="n">
        <x:v>1</x:v>
      </x:c>
      <x:c r="E6" s="15" t="n">
        <x:v>561</x:v>
      </x:c>
      <x:c r="F6" s="15" t="n">
        <x:v>1295</x:v>
      </x:c>
      <x:c r="G6" s="15" t="n">
        <x:v>1618</x:v>
      </x:c>
      <x:c r="H6" s="18" t="d">
        <x:v>2018-02-22T12:24:59.674Z</x:v>
      </x:c>
      <x:c r="I6" s="18" t="d">
        <x:v>2018-02-22T21:29:42.168Z</x:v>
      </x:c>
      <x:c r="J6" s="16" t="n">
        <x:v>0.23300370828182942</x:v>
      </x:c>
    </x:row>
    <x:row r="7" ht="24" customHeight="1">
      <x:c r="A7" s="15" t="str">
        <x:v>Brute_Force_-XSS</x:v>
      </x:c>
      <x:c r="B7" s="15" t="n">
        <x:v>60</x:v>
      </x:c>
      <x:c r="C7" s="15" t="n">
        <x:v>187</x:v>
      </x:c>
      <x:c r="D7" s="15" t="n">
        <x:v>1</x:v>
      </x:c>
      <x:c r="E7" s="15" t="n">
        <x:v>4</x:v>
      </x:c>
      <x:c r="F7" s="15" t="n">
        <x:v>442</x:v>
      </x:c>
      <x:c r="G7" s="15" t="n">
        <x:v>480</x:v>
      </x:c>
      <x:c r="H7" s="18" t="d">
        <x:v>2018-02-22T12:25:10.148Z</x:v>
      </x:c>
      <x:c r="I7" s="18" t="d">
        <x:v>2018-02-22T21:28:23.081Z</x:v>
      </x:c>
      <x:c r="J7" s="16" t="n">
        <x:v>0.0875</x:v>
      </x:c>
    </x:row>
    <x:row r="8" ht="24" customHeight="1">
      <x:c r="A8" s="15" t="str">
        <x:v>DDOS_attack-HOIC</x:v>
      </x:c>
      <x:c r="B8" s="15" t="n">
        <x:v>60</x:v>
      </x:c>
      <x:c r="C8" s="15" t="n">
        <x:v>1</x:v>
      </x:c>
      <x:c r="D8" s="15" t="n">
        <x:v>1</x:v>
      </x:c>
      <x:c r="E8" s="15" t="n">
        <x:v>10</x:v>
      </x:c>
      <x:c r="F8" s="15" t="n">
        <x:v>340</x:v>
      </x:c>
      <x:c r="G8" s="15" t="n">
        <x:v>1032311</x:v>
      </x:c>
      <x:c r="H8" s="18" t="d">
        <x:v>2018-02-21T18:11:08.829Z</x:v>
      </x:c>
      <x:c r="I8" s="18" t="d">
        <x:v>2018-02-21T19:05:54.052Z</x:v>
      </x:c>
      <x:c r="J8" s="16" t="n">
        <x:v>1</x:v>
      </x:c>
    </x:row>
    <x:row r="9" ht="24" customHeight="1">
      <x:c r="A9" s="15" t="str">
        <x:v>DDOS_attack-LOIC-UDP</x:v>
      </x:c>
      <x:c r="B9" s="15" t="n">
        <x:v>60</x:v>
      </x:c>
      <x:c r="C9" s="15" t="n">
        <x:v>1</x:v>
      </x:c>
      <x:c r="D9" s="15" t="n">
        <x:v>1</x:v>
      </x:c>
      <x:c r="E9" s="15" t="n">
        <x:v>10</x:v>
      </x:c>
      <x:c r="F9" s="15" t="n">
        <x:v>188</x:v>
      </x:c>
      <x:c r="G9" s="15" t="n">
        <x:v>3450</x:v>
      </x:c>
      <x:c r="H9" s="18" t="d">
        <x:v>2018-02-21T14:08:51.251Z</x:v>
      </x:c>
      <x:c r="I9" s="18" t="d">
        <x:v>2018-02-21T14:43:16.845Z</x:v>
      </x:c>
      <x:c r="J9" s="16" t="n">
        <x:v>1</x:v>
      </x:c>
    </x:row>
    <x:row r="10" ht="24" customHeight="1">
      <x:c r="A10" s="15" t="str">
        <x:v>DDoS_attacks-LOIC-HTTP</x:v>
      </x:c>
      <x:c r="B10" s="15" t="n">
        <x:v>60</x:v>
      </x:c>
      <x:c r="C10" s="15" t="n">
        <x:v>11</x:v>
      </x:c>
      <x:c r="D10" s="15" t="n">
        <x:v>1</x:v>
      </x:c>
      <x:c r="E10" s="15" t="n">
        <x:v>10</x:v>
      </x:c>
      <x:c r="F10" s="15" t="n">
        <x:v>471</x:v>
      </x:c>
      <x:c r="G10" s="15" t="n">
        <x:v>288589</x:v>
      </x:c>
      <x:c r="H10" s="18" t="d">
        <x:v>2018-02-20T14:13:54.662Z</x:v>
      </x:c>
      <x:c r="I10" s="18" t="d">
        <x:v>2018-02-20T17:29:16.047Z</x:v>
      </x:c>
      <x:c r="J10" s="16" t="n">
        <x:v>0.8540692819199623</x:v>
      </x:c>
    </x:row>
    <x:row r="11" ht="24" customHeight="1">
      <x:c r="A11" s="15" t="str">
        <x:v>DoS_attacks-GoldenEye</x:v>
      </x:c>
      <x:c r="B11" s="15" t="n">
        <x:v>60</x:v>
      </x:c>
      <x:c r="C11" s="15" t="n">
        <x:v>5</x:v>
      </x:c>
      <x:c r="D11" s="15" t="n">
        <x:v>1</x:v>
      </x:c>
      <x:c r="E11" s="15" t="n">
        <x:v>1</x:v>
      </x:c>
      <x:c r="F11" s="15" t="n">
        <x:v>14</x:v>
      </x:c>
      <x:c r="G11" s="15" t="n">
        <x:v>61300</x:v>
      </x:c>
      <x:c r="H11" s="18" t="d">
        <x:v>2018-02-15T13:27:42.466Z</x:v>
      </x:c>
      <x:c r="I11" s="18" t="d">
        <x:v>2018-02-15T14:11:45.874Z</x:v>
      </x:c>
      <x:c r="J11" s="16" t="n">
        <x:v>0.5360522022838499</x:v>
      </x:c>
    </x:row>
    <x:row r="12" ht="24" customHeight="1">
      <x:c r="A12" s="15" t="str">
        <x:v>DoS_attacks-Hulk</x:v>
      </x:c>
      <x:c r="B12" s="15" t="n">
        <x:v>60</x:v>
      </x:c>
      <x:c r="C12" s="15" t="n">
        <x:v>1</x:v>
      </x:c>
      <x:c r="D12" s="15" t="n">
        <x:v>1</x:v>
      </x:c>
      <x:c r="E12" s="15" t="n">
        <x:v>1</x:v>
      </x:c>
      <x:c r="F12" s="15" t="n">
        <x:v>9</x:v>
      </x:c>
      <x:c r="G12" s="15" t="n">
        <x:v>100076</x:v>
      </x:c>
      <x:c r="H12" s="18" t="d">
        <x:v>2018-02-16T17:45:27.825Z</x:v>
      </x:c>
      <x:c r="I12" s="18" t="d">
        <x:v>2018-02-16T17:58:22.098Z</x:v>
      </x:c>
      <x:c r="J12" s="16" t="n">
        <x:v>1</x:v>
      </x:c>
    </x:row>
    <x:row r="13" ht="24" customHeight="1">
      <x:c r="A13" s="15" t="str">
        <x:v>DoS_attacks-SlowHTTPTest</x:v>
      </x:c>
      <x:c r="B13" s="15" t="n">
        <x:v>60</x:v>
      </x:c>
      <x:c r="C13" s="15" t="n">
        <x:v>1</x:v>
      </x:c>
      <x:c r="D13" s="15" t="n">
        <x:v>1</x:v>
      </x:c>
      <x:c r="E13" s="15" t="n">
        <x:v>1</x:v>
      </x:c>
      <x:c r="F13" s="15" t="n">
        <x:v>33</x:v>
      </x:c>
      <x:c r="G13" s="15" t="n">
        <x:v>105550</x:v>
      </x:c>
      <x:c r="H13" s="18" t="d">
        <x:v>2018-02-16T14:12:14.134Z</x:v>
      </x:c>
      <x:c r="I13" s="18" t="d">
        <x:v>2018-02-16T15:05:13.888Z</x:v>
      </x:c>
      <x:c r="J13" s="16" t="n">
        <x:v>1</x:v>
      </x:c>
    </x:row>
    <x:row r="14" ht="24" customHeight="1">
      <x:c r="A14" s="15" t="str">
        <x:v>DoS_attacks-Slowloris</x:v>
      </x:c>
      <x:c r="B14" s="15" t="n">
        <x:v>60</x:v>
      </x:c>
      <x:c r="C14" s="15" t="n">
        <x:v>1</x:v>
      </x:c>
      <x:c r="D14" s="15" t="n">
        <x:v>1</x:v>
      </x:c>
      <x:c r="E14" s="15" t="n">
        <x:v>1</x:v>
      </x:c>
      <x:c r="F14" s="15" t="n">
        <x:v>25</x:v>
      </x:c>
      <x:c r="G14" s="15" t="n">
        <x:v>36040</x:v>
      </x:c>
      <x:c r="H14" s="18" t="d">
        <x:v>2018-02-15T15:00:12.551Z</x:v>
      </x:c>
      <x:c r="I14" s="18" t="d">
        <x:v>2018-02-15T15:41:34.482Z</x:v>
      </x:c>
      <x:c r="J14" s="16" t="n">
        <x:v>1</x:v>
      </x:c>
    </x:row>
    <x:row r="15" ht="24" customHeight="1">
      <x:c r="A15" s="15" t="str">
        <x:v>FTP-BruteForce</x:v>
      </x:c>
      <x:c r="B15" s="15" t="n">
        <x:v>60</x:v>
      </x:c>
      <x:c r="C15" s="15" t="n">
        <x:v>1</x:v>
      </x:c>
      <x:c r="D15" s="15" t="n">
        <x:v>1</x:v>
      </x:c>
      <x:c r="E15" s="15" t="n">
        <x:v>1</x:v>
      </x:c>
      <x:c r="F15" s="15" t="n">
        <x:v>59</x:v>
      </x:c>
      <x:c r="G15" s="15" t="n">
        <x:v>386720</x:v>
      </x:c>
      <x:c r="H15" s="18" t="d">
        <x:v>2018-02-14T14:33:26.718Z</x:v>
      </x:c>
      <x:c r="I15" s="18" t="d">
        <x:v>2018-02-14T16:10:31.995Z</x:v>
      </x:c>
      <x:c r="J15" s="16" t="n">
        <x:v>1</x:v>
      </x:c>
    </x:row>
    <x:row r="16" ht="24" customHeight="1">
      <x:c r="A16" s="15" t="str">
        <x:v>Infilteration</x:v>
      </x:c>
      <x:c r="B16" s="15" t="n">
        <x:v>60</x:v>
      </x:c>
      <x:c r="C16" s="15" t="n">
        <x:v>23</x:v>
      </x:c>
      <x:c r="D16" s="15" t="n">
        <x:v>2</x:v>
      </x:c>
      <x:c r="E16" s="15" t="n">
        <x:v>609</x:v>
      </x:c>
      <x:c r="F16" s="15" t="n">
        <x:v>6634</x:v>
      </x:c>
      <x:c r="G16" s="15" t="n">
        <x:v>188152</x:v>
      </x:c>
      <x:c r="H16" s="18" t="d">
        <x:v>2018-02-28T12:22:05.767Z</x:v>
      </x:c>
      <x:c r="I16" s="18" t="d">
        <x:v>2018-03-01T21:40:18.782Z</x:v>
      </x:c>
      <x:c r="J16" s="16" t="n">
        <x:v>0.2706216250690931</x:v>
      </x:c>
    </x:row>
    <x:row r="17" ht="24" customHeight="1">
      <x:c r="A17" s="15" t="str">
        <x:v>SQL_Injection</x:v>
      </x:c>
      <x:c r="B17" s="15" t="n">
        <x:v>60</x:v>
      </x:c>
      <x:c r="C17" s="15" t="n">
        <x:v>95</x:v>
      </x:c>
      <x:c r="D17" s="15" t="n">
        <x:v>1</x:v>
      </x:c>
      <x:c r="E17" s="15" t="n">
        <x:v>4</x:v>
      </x:c>
      <x:c r="F17" s="15" t="n">
        <x:v>388</x:v>
      </x:c>
      <x:c r="G17" s="15" t="n">
        <x:v>440</x:v>
      </x:c>
      <x:c r="H17" s="18" t="d">
        <x:v>2018-02-22T15:09:40.675Z</x:v>
      </x:c>
      <x:c r="I17" s="18" t="d">
        <x:v>2018-02-22T20:27:51.010Z</x:v>
      </x:c>
      <x:c r="J17" s="16" t="n">
        <x:v>0.16363636363636364</x:v>
      </x:c>
    </x:row>
    <x:row r="18" ht="24" customHeight="1">
      <x:c r="A18" s="15" t="str">
        <x:v>SSH-Bruteforce</x:v>
      </x:c>
      <x:c r="B18" s="15" t="n">
        <x:v>60</x:v>
      </x:c>
      <x:c r="C18" s="15" t="n">
        <x:v>1</x:v>
      </x:c>
      <x:c r="D18" s="15" t="n">
        <x:v>1</x:v>
      </x:c>
      <x:c r="E18" s="15" t="n">
        <x:v>1</x:v>
      </x:c>
      <x:c r="F18" s="15" t="n">
        <x:v>56</x:v>
      </x:c>
      <x:c r="G18" s="15" t="n">
        <x:v>188474</x:v>
      </x:c>
      <x:c r="H18" s="18" t="d">
        <x:v>2018-02-14T18:01:21.199Z</x:v>
      </x:c>
      <x:c r="I18" s="18" t="d">
        <x:v>2018-02-14T19:32:30.288Z</x:v>
      </x:c>
      <x:c r="J18" s="16" t="n">
        <x:v>1</x:v>
      </x:c>
    </x:row>
    <x:row r="19" ht="24" customHeight="1">
      <x:c r="A19" s="15" t="str">
        <x:v>Bot</x:v>
      </x:c>
      <x:c r="B19" s="15" t="n">
        <x:v>300</x:v>
      </x:c>
      <x:c r="C19" s="15" t="n">
        <x:v>1</x:v>
      </x:c>
      <x:c r="D19" s="15" t="n">
        <x:v>1</x:v>
      </x:c>
      <x:c r="E19" s="15" t="n">
        <x:v>8</x:v>
      </x:c>
      <x:c r="F19" s="15" t="n">
        <x:v>1387</x:v>
      </x:c>
      <x:c r="G19" s="15" t="n">
        <x:v>207703</x:v>
      </x:c>
      <x:c r="H19" s="18" t="d">
        <x:v>2018-03-02T14:17:07.380Z</x:v>
      </x:c>
      <x:c r="I19" s="18" t="d">
        <x:v>2018-03-02T19:54:50.318Z</x:v>
      </x:c>
      <x:c r="J19" s="16" t="n">
        <x:v>1</x:v>
      </x:c>
    </x:row>
    <x:row r="20" ht="24" customHeight="1">
      <x:c r="A20" s="15" t="str">
        <x:v>Brute_Force_-Web</x:v>
      </x:c>
      <x:c r="B20" s="15" t="n">
        <x:v>300</x:v>
      </x:c>
      <x:c r="C20" s="15" t="n">
        <x:v>1</x:v>
      </x:c>
      <x:c r="D20" s="15" t="n">
        <x:v>1</x:v>
      </x:c>
      <x:c r="E20" s="15" t="n">
        <x:v>561</x:v>
      </x:c>
      <x:c r="F20" s="15" t="n">
        <x:v>1295</x:v>
      </x:c>
      <x:c r="G20" s="15" t="n">
        <x:v>1618</x:v>
      </x:c>
      <x:c r="H20" s="18" t="d">
        <x:v>2018-02-22T12:24:59.674Z</x:v>
      </x:c>
      <x:c r="I20" s="18" t="d">
        <x:v>2018-02-22T21:29:42.168Z</x:v>
      </x:c>
      <x:c r="J20" s="16" t="n">
        <x:v>1</x:v>
      </x:c>
    </x:row>
    <x:row r="21" ht="24" customHeight="1">
      <x:c r="A21" s="15" t="str">
        <x:v>Brute_Force_-XSS</x:v>
      </x:c>
      <x:c r="B21" s="15" t="n">
        <x:v>300</x:v>
      </x:c>
      <x:c r="C21" s="15" t="n">
        <x:v>1</x:v>
      </x:c>
      <x:c r="D21" s="15" t="n">
        <x:v>1</x:v>
      </x:c>
      <x:c r="E21" s="15" t="n">
        <x:v>4</x:v>
      </x:c>
      <x:c r="F21" s="15" t="n">
        <x:v>442</x:v>
      </x:c>
      <x:c r="G21" s="15" t="n">
        <x:v>480</x:v>
      </x:c>
      <x:c r="H21" s="18" t="d">
        <x:v>2018-02-22T12:25:10.148Z</x:v>
      </x:c>
      <x:c r="I21" s="18" t="d">
        <x:v>2018-02-22T21:28:23.081Z</x:v>
      </x:c>
      <x:c r="J21" s="16" t="n">
        <x:v>1</x:v>
      </x:c>
    </x:row>
    <x:row r="22" ht="24" customHeight="1">
      <x:c r="A22" s="15" t="str">
        <x:v>DDOS_attack-HOIC</x:v>
      </x:c>
      <x:c r="B22" s="15" t="n">
        <x:v>300</x:v>
      </x:c>
      <x:c r="C22" s="15" t="n">
        <x:v>1</x:v>
      </x:c>
      <x:c r="D22" s="15" t="n">
        <x:v>1</x:v>
      </x:c>
      <x:c r="E22" s="15" t="n">
        <x:v>10</x:v>
      </x:c>
      <x:c r="F22" s="15" t="n">
        <x:v>340</x:v>
      </x:c>
      <x:c r="G22" s="15" t="n">
        <x:v>1032311</x:v>
      </x:c>
      <x:c r="H22" s="18" t="d">
        <x:v>2018-02-21T18:11:08.829Z</x:v>
      </x:c>
      <x:c r="I22" s="18" t="d">
        <x:v>2018-02-21T19:05:54.052Z</x:v>
      </x:c>
      <x:c r="J22" s="16" t="n">
        <x:v>1</x:v>
      </x:c>
    </x:row>
    <x:row r="23" ht="24" customHeight="1">
      <x:c r="A23" s="15" t="str">
        <x:v>DDOS_attack-LOIC-UDP</x:v>
      </x:c>
      <x:c r="B23" s="15" t="n">
        <x:v>300</x:v>
      </x:c>
      <x:c r="C23" s="15" t="n">
        <x:v>1</x:v>
      </x:c>
      <x:c r="D23" s="15" t="n">
        <x:v>1</x:v>
      </x:c>
      <x:c r="E23" s="15" t="n">
        <x:v>10</x:v>
      </x:c>
      <x:c r="F23" s="15" t="n">
        <x:v>188</x:v>
      </x:c>
      <x:c r="G23" s="15" t="n">
        <x:v>3450</x:v>
      </x:c>
      <x:c r="H23" s="18" t="d">
        <x:v>2018-02-21T14:08:51.251Z</x:v>
      </x:c>
      <x:c r="I23" s="18" t="d">
        <x:v>2018-02-21T14:43:16.845Z</x:v>
      </x:c>
      <x:c r="J23" s="16" t="n">
        <x:v>1</x:v>
      </x:c>
    </x:row>
    <x:row r="24" ht="24" customHeight="1">
      <x:c r="A24" s="15" t="str">
        <x:v>DDoS_attacks-LOIC-HTTP</x:v>
      </x:c>
      <x:c r="B24" s="15" t="n">
        <x:v>300</x:v>
      </x:c>
      <x:c r="C24" s="15" t="n">
        <x:v>3</x:v>
      </x:c>
      <x:c r="D24" s="15" t="n">
        <x:v>1</x:v>
      </x:c>
      <x:c r="E24" s="15" t="n">
        <x:v>10</x:v>
      </x:c>
      <x:c r="F24" s="15" t="n">
        <x:v>471</x:v>
      </x:c>
      <x:c r="G24" s="15" t="n">
        <x:v>288589</x:v>
      </x:c>
      <x:c r="H24" s="18" t="d">
        <x:v>2018-02-20T14:13:54.662Z</x:v>
      </x:c>
      <x:c r="I24" s="18" t="d">
        <x:v>2018-02-20T17:29:16.047Z</x:v>
      </x:c>
      <x:c r="J24" s="16" t="n">
        <x:v>0.9923108642394547</x:v>
      </x:c>
    </x:row>
    <x:row r="25" ht="24" customHeight="1">
      <x:c r="A25" s="15" t="str">
        <x:v>DoS_attacks-GoldenEye</x:v>
      </x:c>
      <x:c r="B25" s="15" t="n">
        <x:v>300</x:v>
      </x:c>
      <x:c r="C25" s="15" t="n">
        <x:v>5</x:v>
      </x:c>
      <x:c r="D25" s="15" t="n">
        <x:v>1</x:v>
      </x:c>
      <x:c r="E25" s="15" t="n">
        <x:v>1</x:v>
      </x:c>
      <x:c r="F25" s="15" t="n">
        <x:v>14</x:v>
      </x:c>
      <x:c r="G25" s="15" t="n">
        <x:v>61300</x:v>
      </x:c>
      <x:c r="H25" s="18" t="d">
        <x:v>2018-02-15T13:27:42.466Z</x:v>
      </x:c>
      <x:c r="I25" s="18" t="d">
        <x:v>2018-02-15T14:11:45.874Z</x:v>
      </x:c>
      <x:c r="J25" s="16" t="n">
        <x:v>0.5360522022838499</x:v>
      </x:c>
    </x:row>
    <x:row r="26" ht="24" customHeight="1">
      <x:c r="A26" s="15" t="str">
        <x:v>DoS_attacks-Hulk</x:v>
      </x:c>
      <x:c r="B26" s="15" t="n">
        <x:v>300</x:v>
      </x:c>
      <x:c r="C26" s="15" t="n">
        <x:v>1</x:v>
      </x:c>
      <x:c r="D26" s="15" t="n">
        <x:v>1</x:v>
      </x:c>
      <x:c r="E26" s="15" t="n">
        <x:v>1</x:v>
      </x:c>
      <x:c r="F26" s="15" t="n">
        <x:v>9</x:v>
      </x:c>
      <x:c r="G26" s="15" t="n">
        <x:v>100076</x:v>
      </x:c>
      <x:c r="H26" s="18" t="d">
        <x:v>2018-02-16T17:45:27.825Z</x:v>
      </x:c>
      <x:c r="I26" s="18" t="d">
        <x:v>2018-02-16T17:58:22.098Z</x:v>
      </x:c>
      <x:c r="J26" s="16" t="n">
        <x:v>1</x:v>
      </x:c>
    </x:row>
    <x:row r="27" ht="24" customHeight="1">
      <x:c r="A27" s="15" t="str">
        <x:v>DoS_attacks-SlowHTTPTest</x:v>
      </x:c>
      <x:c r="B27" s="15" t="n">
        <x:v>300</x:v>
      </x:c>
      <x:c r="C27" s="15" t="n">
        <x:v>1</x:v>
      </x:c>
      <x:c r="D27" s="15" t="n">
        <x:v>1</x:v>
      </x:c>
      <x:c r="E27" s="15" t="n">
        <x:v>1</x:v>
      </x:c>
      <x:c r="F27" s="15" t="n">
        <x:v>33</x:v>
      </x:c>
      <x:c r="G27" s="15" t="n">
        <x:v>105550</x:v>
      </x:c>
      <x:c r="H27" s="18" t="d">
        <x:v>2018-02-16T14:12:14.134Z</x:v>
      </x:c>
      <x:c r="I27" s="18" t="d">
        <x:v>2018-02-16T15:05:13.888Z</x:v>
      </x:c>
      <x:c r="J27" s="16" t="n">
        <x:v>1</x:v>
      </x:c>
    </x:row>
    <x:row r="28" ht="24" customHeight="1">
      <x:c r="A28" s="15" t="str">
        <x:v>DoS_attacks-Slowloris</x:v>
      </x:c>
      <x:c r="B28" s="15" t="n">
        <x:v>300</x:v>
      </x:c>
      <x:c r="C28" s="15" t="n">
        <x:v>1</x:v>
      </x:c>
      <x:c r="D28" s="15" t="n">
        <x:v>1</x:v>
      </x:c>
      <x:c r="E28" s="15" t="n">
        <x:v>1</x:v>
      </x:c>
      <x:c r="F28" s="15" t="n">
        <x:v>25</x:v>
      </x:c>
      <x:c r="G28" s="15" t="n">
        <x:v>36040</x:v>
      </x:c>
      <x:c r="H28" s="18" t="d">
        <x:v>2018-02-15T15:00:12.551Z</x:v>
      </x:c>
      <x:c r="I28" s="18" t="d">
        <x:v>2018-02-15T15:41:34.482Z</x:v>
      </x:c>
      <x:c r="J28" s="16" t="n">
        <x:v>1</x:v>
      </x:c>
    </x:row>
    <x:row r="29" ht="24" customHeight="1">
      <x:c r="A29" s="15" t="str">
        <x:v>FTP-BruteForce</x:v>
      </x:c>
      <x:c r="B29" s="15" t="n">
        <x:v>300</x:v>
      </x:c>
      <x:c r="C29" s="15" t="n">
        <x:v>1</x:v>
      </x:c>
      <x:c r="D29" s="15" t="n">
        <x:v>1</x:v>
      </x:c>
      <x:c r="E29" s="15" t="n">
        <x:v>1</x:v>
      </x:c>
      <x:c r="F29" s="15" t="n">
        <x:v>59</x:v>
      </x:c>
      <x:c r="G29" s="15" t="n">
        <x:v>386720</x:v>
      </x:c>
      <x:c r="H29" s="18" t="d">
        <x:v>2018-02-14T14:33:26.718Z</x:v>
      </x:c>
      <x:c r="I29" s="18" t="d">
        <x:v>2018-02-14T16:10:31.995Z</x:v>
      </x:c>
      <x:c r="J29" s="16" t="n">
        <x:v>1</x:v>
      </x:c>
    </x:row>
    <x:row r="30" ht="24" customHeight="1">
      <x:c r="A30" s="15" t="str">
        <x:v>Infilteration</x:v>
      </x:c>
      <x:c r="B30" s="15" t="n">
        <x:v>300</x:v>
      </x:c>
      <x:c r="C30" s="15" t="n">
        <x:v>3</x:v>
      </x:c>
      <x:c r="D30" s="15" t="n">
        <x:v>2</x:v>
      </x:c>
      <x:c r="E30" s="15" t="n">
        <x:v>609</x:v>
      </x:c>
      <x:c r="F30" s="15" t="n">
        <x:v>6634</x:v>
      </x:c>
      <x:c r="G30" s="15" t="n">
        <x:v>188152</x:v>
      </x:c>
      <x:c r="H30" s="18" t="d">
        <x:v>2018-02-28T12:22:05.767Z</x:v>
      </x:c>
      <x:c r="I30" s="18" t="d">
        <x:v>2018-03-01T21:40:18.782Z</x:v>
      </x:c>
      <x:c r="J30" s="16" t="n">
        <x:v>0.5518038607083634</x:v>
      </x:c>
    </x:row>
    <x:row r="31" ht="24" customHeight="1">
      <x:c r="A31" s="15" t="str">
        <x:v>SQL_Injection</x:v>
      </x:c>
      <x:c r="B31" s="15" t="n">
        <x:v>300</x:v>
      </x:c>
      <x:c r="C31" s="15" t="n">
        <x:v>1</x:v>
      </x:c>
      <x:c r="D31" s="15" t="n">
        <x:v>1</x:v>
      </x:c>
      <x:c r="E31" s="15" t="n">
        <x:v>4</x:v>
      </x:c>
      <x:c r="F31" s="15" t="n">
        <x:v>388</x:v>
      </x:c>
      <x:c r="G31" s="15" t="n">
        <x:v>440</x:v>
      </x:c>
      <x:c r="H31" s="18" t="d">
        <x:v>2018-02-22T15:09:40.675Z</x:v>
      </x:c>
      <x:c r="I31" s="18" t="d">
        <x:v>2018-02-22T20:27:51.010Z</x:v>
      </x:c>
      <x:c r="J31" s="16" t="n">
        <x:v>1</x:v>
      </x:c>
    </x:row>
    <x:row r="32" ht="24" customHeight="1">
      <x:c r="A32" s="15" t="str">
        <x:v>SSH-Bruteforce</x:v>
      </x:c>
      <x:c r="B32" s="15" t="n">
        <x:v>300</x:v>
      </x:c>
      <x:c r="C32" s="15" t="n">
        <x:v>1</x:v>
      </x:c>
      <x:c r="D32" s="15" t="n">
        <x:v>1</x:v>
      </x:c>
      <x:c r="E32" s="15" t="n">
        <x:v>1</x:v>
      </x:c>
      <x:c r="F32" s="15" t="n">
        <x:v>56</x:v>
      </x:c>
      <x:c r="G32" s="15" t="n">
        <x:v>188474</x:v>
      </x:c>
      <x:c r="H32" s="18" t="d">
        <x:v>2018-02-14T18:01:21.199Z</x:v>
      </x:c>
      <x:c r="I32" s="18" t="d">
        <x:v>2018-02-14T19:32:30.288Z</x:v>
      </x:c>
      <x:c r="J32" s="16" t="n">
        <x:v>1</x:v>
      </x:c>
    </x:row>
    <x:row r="33" ht="24" customHeight="1">
      <x:c r="A33" s="15" t="str">
        <x:v>Bot</x:v>
      </x:c>
      <x:c r="B33" s="15" t="n">
        <x:v>900</x:v>
      </x:c>
      <x:c r="C33" s="15" t="n">
        <x:v>1</x:v>
      </x:c>
      <x:c r="D33" s="15" t="n">
        <x:v>1</x:v>
      </x:c>
      <x:c r="E33" s="15" t="n">
        <x:v>8</x:v>
      </x:c>
      <x:c r="F33" s="15" t="n">
        <x:v>1387</x:v>
      </x:c>
      <x:c r="G33" s="15" t="n">
        <x:v>207703</x:v>
      </x:c>
      <x:c r="H33" s="18" t="d">
        <x:v>2018-03-02T14:17:07.380Z</x:v>
      </x:c>
      <x:c r="I33" s="18" t="d">
        <x:v>2018-03-02T19:54:50.318Z</x:v>
      </x:c>
      <x:c r="J33" s="16" t="n">
        <x:v>1</x:v>
      </x:c>
    </x:row>
    <x:row r="34" ht="24" customHeight="1">
      <x:c r="A34" s="15" t="str">
        <x:v>Brute_Force_-Web</x:v>
      </x:c>
      <x:c r="B34" s="15" t="n">
        <x:v>900</x:v>
      </x:c>
      <x:c r="C34" s="15" t="n">
        <x:v>1</x:v>
      </x:c>
      <x:c r="D34" s="15" t="n">
        <x:v>1</x:v>
      </x:c>
      <x:c r="E34" s="15" t="n">
        <x:v>561</x:v>
      </x:c>
      <x:c r="F34" s="15" t="n">
        <x:v>1295</x:v>
      </x:c>
      <x:c r="G34" s="15" t="n">
        <x:v>1618</x:v>
      </x:c>
      <x:c r="H34" s="18" t="d">
        <x:v>2018-02-22T12:24:59.674Z</x:v>
      </x:c>
      <x:c r="I34" s="18" t="d">
        <x:v>2018-02-22T21:29:42.168Z</x:v>
      </x:c>
      <x:c r="J34" s="16" t="n">
        <x:v>1</x:v>
      </x:c>
    </x:row>
    <x:row r="35" ht="24" customHeight="1">
      <x:c r="A35" s="15" t="str">
        <x:v>Brute_Force_-XSS</x:v>
      </x:c>
      <x:c r="B35" s="15" t="n">
        <x:v>900</x:v>
      </x:c>
      <x:c r="C35" s="15" t="n">
        <x:v>1</x:v>
      </x:c>
      <x:c r="D35" s="15" t="n">
        <x:v>1</x:v>
      </x:c>
      <x:c r="E35" s="15" t="n">
        <x:v>4</x:v>
      </x:c>
      <x:c r="F35" s="15" t="n">
        <x:v>442</x:v>
      </x:c>
      <x:c r="G35" s="15" t="n">
        <x:v>480</x:v>
      </x:c>
      <x:c r="H35" s="18" t="d">
        <x:v>2018-02-22T12:25:10.148Z</x:v>
      </x:c>
      <x:c r="I35" s="18" t="d">
        <x:v>2018-02-22T21:28:23.081Z</x:v>
      </x:c>
      <x:c r="J35" s="16" t="n">
        <x:v>1</x:v>
      </x:c>
    </x:row>
    <x:row r="36" ht="24" customHeight="1">
      <x:c r="A36" s="15" t="str">
        <x:v>DDOS_attack-HOIC</x:v>
      </x:c>
      <x:c r="B36" s="15" t="n">
        <x:v>900</x:v>
      </x:c>
      <x:c r="C36" s="15" t="n">
        <x:v>1</x:v>
      </x:c>
      <x:c r="D36" s="15" t="n">
        <x:v>1</x:v>
      </x:c>
      <x:c r="E36" s="15" t="n">
        <x:v>10</x:v>
      </x:c>
      <x:c r="F36" s="15" t="n">
        <x:v>340</x:v>
      </x:c>
      <x:c r="G36" s="15" t="n">
        <x:v>1032311</x:v>
      </x:c>
      <x:c r="H36" s="18" t="d">
        <x:v>2018-02-21T18:11:08.829Z</x:v>
      </x:c>
      <x:c r="I36" s="18" t="d">
        <x:v>2018-02-21T19:05:54.052Z</x:v>
      </x:c>
      <x:c r="J36" s="16" t="n">
        <x:v>1</x:v>
      </x:c>
    </x:row>
    <x:row r="37" ht="24" customHeight="1">
      <x:c r="A37" s="15" t="str">
        <x:v>DDOS_attack-LOIC-UDP</x:v>
      </x:c>
      <x:c r="B37" s="15" t="n">
        <x:v>900</x:v>
      </x:c>
      <x:c r="C37" s="15" t="n">
        <x:v>1</x:v>
      </x:c>
      <x:c r="D37" s="15" t="n">
        <x:v>1</x:v>
      </x:c>
      <x:c r="E37" s="15" t="n">
        <x:v>10</x:v>
      </x:c>
      <x:c r="F37" s="15" t="n">
        <x:v>188</x:v>
      </x:c>
      <x:c r="G37" s="15" t="n">
        <x:v>3450</x:v>
      </x:c>
      <x:c r="H37" s="18" t="d">
        <x:v>2018-02-21T14:08:51.251Z</x:v>
      </x:c>
      <x:c r="I37" s="18" t="d">
        <x:v>2018-02-21T14:43:16.845Z</x:v>
      </x:c>
      <x:c r="J37" s="16" t="n">
        <x:v>1</x:v>
      </x:c>
    </x:row>
    <x:row r="38" ht="24" customHeight="1">
      <x:c r="A38" s="15" t="str">
        <x:v>DDoS_attacks-LOIC-HTTP</x:v>
      </x:c>
      <x:c r="B38" s="15" t="n">
        <x:v>900</x:v>
      </x:c>
      <x:c r="C38" s="15" t="n">
        <x:v>3</x:v>
      </x:c>
      <x:c r="D38" s="15" t="n">
        <x:v>1</x:v>
      </x:c>
      <x:c r="E38" s="15" t="n">
        <x:v>10</x:v>
      </x:c>
      <x:c r="F38" s="15" t="n">
        <x:v>471</x:v>
      </x:c>
      <x:c r="G38" s="15" t="n">
        <x:v>288589</x:v>
      </x:c>
      <x:c r="H38" s="18" t="d">
        <x:v>2018-02-20T14:13:54.662Z</x:v>
      </x:c>
      <x:c r="I38" s="18" t="d">
        <x:v>2018-02-20T17:29:16.047Z</x:v>
      </x:c>
      <x:c r="J38" s="16" t="n">
        <x:v>0.9923108642394547</x:v>
      </x:c>
    </x:row>
    <x:row r="39" ht="24" customHeight="1">
      <x:c r="A39" s="15" t="str">
        <x:v>DoS_attacks-GoldenEye</x:v>
      </x:c>
      <x:c r="B39" s="15" t="n">
        <x:v>900</x:v>
      </x:c>
      <x:c r="C39" s="15" t="n">
        <x:v>1</x:v>
      </x:c>
      <x:c r="D39" s="15" t="n">
        <x:v>1</x:v>
      </x:c>
      <x:c r="E39" s="15" t="n">
        <x:v>1</x:v>
      </x:c>
      <x:c r="F39" s="15" t="n">
        <x:v>14</x:v>
      </x:c>
      <x:c r="G39" s="15" t="n">
        <x:v>61300</x:v>
      </x:c>
      <x:c r="H39" s="18" t="d">
        <x:v>2018-02-15T13:27:42.466Z</x:v>
      </x:c>
      <x:c r="I39" s="18" t="d">
        <x:v>2018-02-15T14:11:45.874Z</x:v>
      </x:c>
      <x:c r="J39" s="16" t="n">
        <x:v>1</x:v>
      </x:c>
    </x:row>
    <x:row r="40" ht="24" customHeight="1">
      <x:c r="A40" s="15" t="str">
        <x:v>DoS_attacks-Hulk</x:v>
      </x:c>
      <x:c r="B40" s="15" t="n">
        <x:v>900</x:v>
      </x:c>
      <x:c r="C40" s="15" t="n">
        <x:v>1</x:v>
      </x:c>
      <x:c r="D40" s="15" t="n">
        <x:v>1</x:v>
      </x:c>
      <x:c r="E40" s="15" t="n">
        <x:v>1</x:v>
      </x:c>
      <x:c r="F40" s="15" t="n">
        <x:v>9</x:v>
      </x:c>
      <x:c r="G40" s="15" t="n">
        <x:v>100076</x:v>
      </x:c>
      <x:c r="H40" s="18" t="d">
        <x:v>2018-02-16T17:45:27.825Z</x:v>
      </x:c>
      <x:c r="I40" s="18" t="d">
        <x:v>2018-02-16T17:58:22.098Z</x:v>
      </x:c>
      <x:c r="J40" s="16" t="n">
        <x:v>1</x:v>
      </x:c>
    </x:row>
    <x:row r="41" ht="24" customHeight="1">
      <x:c r="A41" s="15" t="str">
        <x:v>DoS_attacks-SlowHTTPTest</x:v>
      </x:c>
      <x:c r="B41" s="15" t="n">
        <x:v>900</x:v>
      </x:c>
      <x:c r="C41" s="15" t="n">
        <x:v>1</x:v>
      </x:c>
      <x:c r="D41" s="15" t="n">
        <x:v>1</x:v>
      </x:c>
      <x:c r="E41" s="15" t="n">
        <x:v>1</x:v>
      </x:c>
      <x:c r="F41" s="15" t="n">
        <x:v>33</x:v>
      </x:c>
      <x:c r="G41" s="15" t="n">
        <x:v>105550</x:v>
      </x:c>
      <x:c r="H41" s="18" t="d">
        <x:v>2018-02-16T14:12:14.134Z</x:v>
      </x:c>
      <x:c r="I41" s="18" t="d">
        <x:v>2018-02-16T15:05:13.888Z</x:v>
      </x:c>
      <x:c r="J41" s="16" t="n">
        <x:v>1</x:v>
      </x:c>
    </x:row>
    <x:row r="42" ht="24" customHeight="1">
      <x:c r="A42" s="15" t="str">
        <x:v>DoS_attacks-Slowloris</x:v>
      </x:c>
      <x:c r="B42" s="15" t="n">
        <x:v>900</x:v>
      </x:c>
      <x:c r="C42" s="15" t="n">
        <x:v>1</x:v>
      </x:c>
      <x:c r="D42" s="15" t="n">
        <x:v>1</x:v>
      </x:c>
      <x:c r="E42" s="15" t="n">
        <x:v>1</x:v>
      </x:c>
      <x:c r="F42" s="15" t="n">
        <x:v>25</x:v>
      </x:c>
      <x:c r="G42" s="15" t="n">
        <x:v>36040</x:v>
      </x:c>
      <x:c r="H42" s="18" t="d">
        <x:v>2018-02-15T15:00:12.551Z</x:v>
      </x:c>
      <x:c r="I42" s="18" t="d">
        <x:v>2018-02-15T15:41:34.482Z</x:v>
      </x:c>
      <x:c r="J42" s="16" t="n">
        <x:v>1</x:v>
      </x:c>
    </x:row>
    <x:row r="43" ht="24" customHeight="1">
      <x:c r="A43" s="15" t="str">
        <x:v>FTP-BruteForce</x:v>
      </x:c>
      <x:c r="B43" s="15" t="n">
        <x:v>900</x:v>
      </x:c>
      <x:c r="C43" s="15" t="n">
        <x:v>1</x:v>
      </x:c>
      <x:c r="D43" s="15" t="n">
        <x:v>1</x:v>
      </x:c>
      <x:c r="E43" s="15" t="n">
        <x:v>1</x:v>
      </x:c>
      <x:c r="F43" s="15" t="n">
        <x:v>59</x:v>
      </x:c>
      <x:c r="G43" s="15" t="n">
        <x:v>386720</x:v>
      </x:c>
      <x:c r="H43" s="18" t="d">
        <x:v>2018-02-14T14:33:26.718Z</x:v>
      </x:c>
      <x:c r="I43" s="18" t="d">
        <x:v>2018-02-14T16:10:31.995Z</x:v>
      </x:c>
      <x:c r="J43" s="16" t="n">
        <x:v>1</x:v>
      </x:c>
    </x:row>
    <x:row r="44" ht="24" customHeight="1">
      <x:c r="A44" s="15" t="str">
        <x:v>Infilteration</x:v>
      </x:c>
      <x:c r="B44" s="15" t="n">
        <x:v>900</x:v>
      </x:c>
      <x:c r="C44" s="15" t="n">
        <x:v>2</x:v>
      </x:c>
      <x:c r="D44" s="15" t="n">
        <x:v>2</x:v>
      </x:c>
      <x:c r="E44" s="15" t="n">
        <x:v>609</x:v>
      </x:c>
      <x:c r="F44" s="15" t="n">
        <x:v>6634</x:v>
      </x:c>
      <x:c r="G44" s="15" t="n">
        <x:v>188152</x:v>
      </x:c>
      <x:c r="H44" s="18" t="d">
        <x:v>2018-02-28T12:22:05.767Z</x:v>
      </x:c>
      <x:c r="I44" s="18" t="d">
        <x:v>2018-03-01T21:40:18.782Z</x:v>
      </x:c>
      <x:c r="J44" s="16" t="n">
        <x:v>0.5518144904120074</x:v>
      </x:c>
    </x:row>
    <x:row r="45" ht="24" customHeight="1">
      <x:c r="A45" s="15" t="str">
        <x:v>SQL_Injection</x:v>
      </x:c>
      <x:c r="B45" s="15" t="n">
        <x:v>900</x:v>
      </x:c>
      <x:c r="C45" s="15" t="n">
        <x:v>1</x:v>
      </x:c>
      <x:c r="D45" s="15" t="n">
        <x:v>1</x:v>
      </x:c>
      <x:c r="E45" s="15" t="n">
        <x:v>4</x:v>
      </x:c>
      <x:c r="F45" s="15" t="n">
        <x:v>388</x:v>
      </x:c>
      <x:c r="G45" s="15" t="n">
        <x:v>440</x:v>
      </x:c>
      <x:c r="H45" s="18" t="d">
        <x:v>2018-02-22T15:09:40.675Z</x:v>
      </x:c>
      <x:c r="I45" s="18" t="d">
        <x:v>2018-02-22T20:27:51.010Z</x:v>
      </x:c>
      <x:c r="J45" s="16" t="n">
        <x:v>1</x:v>
      </x:c>
    </x:row>
    <x:row r="46" ht="24" customHeight="1">
      <x:c r="A46" s="15" t="str">
        <x:v>SSH-Bruteforce</x:v>
      </x:c>
      <x:c r="B46" s="15" t="n">
        <x:v>900</x:v>
      </x:c>
      <x:c r="C46" s="15" t="n">
        <x:v>1</x:v>
      </x:c>
      <x:c r="D46" s="15" t="n">
        <x:v>1</x:v>
      </x:c>
      <x:c r="E46" s="15" t="n">
        <x:v>1</x:v>
      </x:c>
      <x:c r="F46" s="15" t="n">
        <x:v>56</x:v>
      </x:c>
      <x:c r="G46" s="15" t="n">
        <x:v>188474</x:v>
      </x:c>
      <x:c r="H46" s="18" t="d">
        <x:v>2018-02-14T18:01:21.199Z</x:v>
      </x:c>
      <x:c r="I46" s="18" t="d">
        <x:v>2018-02-14T19:32:30.288Z</x:v>
      </x:c>
      <x:c r="J46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b02550228984c7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Candidate attack episodes at a 300s gap; all sources of one type combined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56" customHeight="1">
      <x:c r="A4" s="12" t="str">
        <x:v>Episode ID</x:v>
      </x:c>
      <x:c r="B4" s="13" t="str">
        <x:v>Attack type</x:v>
      </x:c>
      <x:c r="C4" s="13" t="str">
        <x:v>First start (UTC)</x:v>
      </x:c>
      <x:c r="D4" s="13" t="str">
        <x:v>Last start (UTC)</x:v>
      </x:c>
      <x:c r="E4" s="13" t="str">
        <x:v>Start span (s)</x:v>
      </x:c>
      <x:c r="F4" s="13" t="str">
        <x:v>Attack flows</x:v>
      </x:c>
      <x:c r="G4" s="13" t="str">
        <x:v>100s windows</x:v>
      </x:c>
      <x:c r="H4" s="13" t="str">
        <x:v>Sources</x:v>
      </x:c>
      <x:c r="I4" s="14" t="str">
        <x:v>Active 10s bins</x:v>
      </x:c>
    </x:row>
    <x:row r="5" ht="24" customHeight="1">
      <x:c r="A5" s="15" t="n">
        <x:v>1</x:v>
      </x:c>
      <x:c r="B5" s="15" t="str">
        <x:v>Bot</x:v>
      </x:c>
      <x:c r="C5" s="18" t="d">
        <x:v>2018-03-02T14:17:07.380Z</x:v>
      </x:c>
      <x:c r="D5" s="18" t="d">
        <x:v>2018-03-02T19:54:50.318Z</x:v>
      </x:c>
      <x:c r="E5" s="19" t="n">
        <x:v>20262.938</x:v>
      </x:c>
      <x:c r="F5" s="15" t="n">
        <x:v>207703</x:v>
      </x:c>
      <x:c r="G5" s="15" t="n">
        <x:v>1387</x:v>
      </x:c>
      <x:c r="H5" s="15" t="n">
        <x:v>8</x:v>
      </x:c>
      <x:c r="I5" s="15" t="n">
        <x:v>2022</x:v>
      </x:c>
    </x:row>
    <x:row r="6" ht="24" customHeight="1">
      <x:c r="A6" s="15" t="n">
        <x:v>2</x:v>
      </x:c>
      <x:c r="B6" s="15" t="str">
        <x:v>Brute_Force_-Web</x:v>
      </x:c>
      <x:c r="C6" s="18" t="d">
        <x:v>2018-02-22T12:24:59.674Z</x:v>
      </x:c>
      <x:c r="D6" s="18" t="d">
        <x:v>2018-02-22T21:29:42.168Z</x:v>
      </x:c>
      <x:c r="E6" s="19" t="n">
        <x:v>32682.494</x:v>
      </x:c>
      <x:c r="F6" s="15" t="n">
        <x:v>1618</x:v>
      </x:c>
      <x:c r="G6" s="15" t="n">
        <x:v>1295</x:v>
      </x:c>
      <x:c r="H6" s="15" t="n">
        <x:v>561</x:v>
      </x:c>
      <x:c r="I6" s="15" t="n">
        <x:v>1123</x:v>
      </x:c>
    </x:row>
    <x:row r="7" ht="24" customHeight="1">
      <x:c r="A7" s="15" t="n">
        <x:v>3</x:v>
      </x:c>
      <x:c r="B7" s="15" t="str">
        <x:v>Brute_Force_-XSS</x:v>
      </x:c>
      <x:c r="C7" s="18" t="d">
        <x:v>2018-02-22T12:25:10.148Z</x:v>
      </x:c>
      <x:c r="D7" s="18" t="d">
        <x:v>2018-02-22T21:28:23.081Z</x:v>
      </x:c>
      <x:c r="E7" s="19" t="n">
        <x:v>32592.933</x:v>
      </x:c>
      <x:c r="F7" s="15" t="n">
        <x:v>480</x:v>
      </x:c>
      <x:c r="G7" s="15" t="n">
        <x:v>442</x:v>
      </x:c>
      <x:c r="H7" s="15" t="n">
        <x:v>4</x:v>
      </x:c>
      <x:c r="I7" s="15" t="n">
        <x:v>449</x:v>
      </x:c>
    </x:row>
    <x:row r="8" ht="24" customHeight="1">
      <x:c r="A8" s="15" t="n">
        <x:v>4</x:v>
      </x:c>
      <x:c r="B8" s="15" t="str">
        <x:v>DDOS_attack-HOIC</x:v>
      </x:c>
      <x:c r="C8" s="18" t="d">
        <x:v>2018-02-21T18:11:08.829Z</x:v>
      </x:c>
      <x:c r="D8" s="18" t="d">
        <x:v>2018-02-21T19:05:54.052Z</x:v>
      </x:c>
      <x:c r="E8" s="19" t="n">
        <x:v>3285.223</x:v>
      </x:c>
      <x:c r="F8" s="15" t="n">
        <x:v>1032311</x:v>
      </x:c>
      <x:c r="G8" s="15" t="n">
        <x:v>340</x:v>
      </x:c>
      <x:c r="H8" s="15" t="n">
        <x:v>10</x:v>
      </x:c>
      <x:c r="I8" s="15" t="n">
        <x:v>319</x:v>
      </x:c>
    </x:row>
    <x:row r="9" ht="24" customHeight="1">
      <x:c r="A9" s="15" t="n">
        <x:v>5</x:v>
      </x:c>
      <x:c r="B9" s="15" t="str">
        <x:v>DDOS_attack-LOIC-UDP</x:v>
      </x:c>
      <x:c r="C9" s="18" t="d">
        <x:v>2018-02-21T14:08:51.251Z</x:v>
      </x:c>
      <x:c r="D9" s="18" t="d">
        <x:v>2018-02-21T14:43:16.845Z</x:v>
      </x:c>
      <x:c r="E9" s="19" t="n">
        <x:v>2065.594</x:v>
      </x:c>
      <x:c r="F9" s="15" t="n">
        <x:v>3450</x:v>
      </x:c>
      <x:c r="G9" s="15" t="n">
        <x:v>188</x:v>
      </x:c>
      <x:c r="H9" s="15" t="n">
        <x:v>10</x:v>
      </x:c>
      <x:c r="I9" s="15" t="n">
        <x:v>141</x:v>
      </x:c>
    </x:row>
    <x:row r="10" ht="24" customHeight="1">
      <x:c r="A10" s="15" t="n">
        <x:v>6</x:v>
      </x:c>
      <x:c r="B10" s="15" t="str">
        <x:v>DDoS_attacks-LOIC-HTTP</x:v>
      </x:c>
      <x:c r="C10" s="18" t="d">
        <x:v>2018-02-20T14:13:54.662Z</x:v>
      </x:c>
      <x:c r="D10" s="18" t="d">
        <x:v>2018-02-20T15:16:48.272Z</x:v>
      </x:c>
      <x:c r="E10" s="19" t="n">
        <x:v>3773.61</x:v>
      </x:c>
      <x:c r="F10" s="15" t="n">
        <x:v>286370</x:v>
      </x:c>
      <x:c r="G10" s="15" t="n">
        <x:v>384</x:v>
      </x:c>
      <x:c r="H10" s="15" t="n">
        <x:v>10</x:v>
      </x:c>
      <x:c r="I10" s="15" t="n">
        <x:v>366</x:v>
      </x:c>
    </x:row>
    <x:row r="11" ht="24" customHeight="1">
      <x:c r="A11" s="15" t="n">
        <x:v>7</x:v>
      </x:c>
      <x:c r="B11" s="15" t="str">
        <x:v>DDoS_attacks-LOIC-HTTP</x:v>
      </x:c>
      <x:c r="C11" s="18" t="d">
        <x:v>2018-02-20T15:40:08.617Z</x:v>
      </x:c>
      <x:c r="D11" s="18" t="d">
        <x:v>2018-02-20T15:40:08.618Z</x:v>
      </x:c>
      <x:c r="E11" s="19" t="n">
        <x:v>0.001</x:v>
      </x:c>
      <x:c r="F11" s="15" t="n">
        <x:v>66</x:v>
      </x:c>
      <x:c r="G11" s="15" t="n">
        <x:v>1</x:v>
      </x:c>
      <x:c r="H11" s="15" t="n">
        <x:v>1</x:v>
      </x:c>
      <x:c r="I11" s="15" t="n">
        <x:v>1</x:v>
      </x:c>
    </x:row>
    <x:row r="12" ht="24" customHeight="1">
      <x:c r="A12" s="15" t="n">
        <x:v>8</x:v>
      </x:c>
      <x:c r="B12" s="15" t="str">
        <x:v>DDoS_attacks-LOIC-HTTP</x:v>
      </x:c>
      <x:c r="C12" s="18" t="d">
        <x:v>2018-02-20T17:14:17.478Z</x:v>
      </x:c>
      <x:c r="D12" s="18" t="d">
        <x:v>2018-02-20T17:29:16.047Z</x:v>
      </x:c>
      <x:c r="E12" s="19" t="n">
        <x:v>898.569</x:v>
      </x:c>
      <x:c r="F12" s="15" t="n">
        <x:v>2153</x:v>
      </x:c>
      <x:c r="G12" s="15" t="n">
        <x:v>86</x:v>
      </x:c>
      <x:c r="H12" s="15" t="n">
        <x:v>10</x:v>
      </x:c>
      <x:c r="I12" s="15" t="n">
        <x:v>54</x:v>
      </x:c>
    </x:row>
    <x:row r="13" ht="24" customHeight="1">
      <x:c r="A13" s="15" t="n">
        <x:v>9</x:v>
      </x:c>
      <x:c r="B13" s="15" t="str">
        <x:v>DoS_attacks-GoldenEye</x:v>
      </x:c>
      <x:c r="C13" s="18" t="d">
        <x:v>2018-02-15T13:27:42.466Z</x:v>
      </x:c>
      <x:c r="D13" s="18" t="d">
        <x:v>2018-02-15T13:31:28.655Z</x:v>
      </x:c>
      <x:c r="E13" s="19" t="n">
        <x:v>226.189</x:v>
      </x:c>
      <x:c r="F13" s="15" t="n">
        <x:v>14192</x:v>
      </x:c>
      <x:c r="G13" s="15" t="n">
        <x:v>3</x:v>
      </x:c>
      <x:c r="H13" s="15" t="n">
        <x:v>1</x:v>
      </x:c>
      <x:c r="I13" s="15" t="n">
        <x:v>23</x:v>
      </x:c>
    </x:row>
    <x:row r="14" ht="24" customHeight="1">
      <x:c r="A14" s="15" t="n">
        <x:v>10</x:v>
      </x:c>
      <x:c r="B14" s="15" t="str">
        <x:v>DoS_attacks-GoldenEye</x:v>
      </x:c>
      <x:c r="C14" s="18" t="d">
        <x:v>2018-02-15T13:37:43.082Z</x:v>
      </x:c>
      <x:c r="D14" s="18" t="d">
        <x:v>2018-02-15T13:41:18.281Z</x:v>
      </x:c>
      <x:c r="E14" s="19" t="n">
        <x:v>215.199</x:v>
      </x:c>
      <x:c r="F14" s="15" t="n">
        <x:v>12176</x:v>
      </x:c>
      <x:c r="G14" s="15" t="n">
        <x:v>3</x:v>
      </x:c>
      <x:c r="H14" s="15" t="n">
        <x:v>1</x:v>
      </x:c>
      <x:c r="I14" s="15" t="n">
        <x:v>19</x:v>
      </x:c>
    </x:row>
    <x:row r="15" ht="24" customHeight="1">
      <x:c r="A15" s="15" t="n">
        <x:v>11</x:v>
      </x:c>
      <x:c r="B15" s="15" t="str">
        <x:v>DoS_attacks-GoldenEye</x:v>
      </x:c>
      <x:c r="C15" s="18" t="d">
        <x:v>2018-02-15T13:49:23.603Z</x:v>
      </x:c>
      <x:c r="D15" s="18" t="d">
        <x:v>2018-02-15T13:57:45.391Z</x:v>
      </x:c>
      <x:c r="E15" s="19" t="n">
        <x:v>501.789</x:v>
      </x:c>
      <x:c r="F15" s="15" t="n">
        <x:v>32860</x:v>
      </x:c>
      <x:c r="G15" s="15" t="n">
        <x:v>6</x:v>
      </x:c>
      <x:c r="H15" s="15" t="n">
        <x:v>1</x:v>
      </x:c>
      <x:c r="I15" s="15" t="n">
        <x:v>49</x:v>
      </x:c>
    </x:row>
    <x:row r="16" ht="24" customHeight="1">
      <x:c r="A16" s="15" t="n">
        <x:v>12</x:v>
      </x:c>
      <x:c r="B16" s="15" t="str">
        <x:v>DoS_attacks-GoldenEye</x:v>
      </x:c>
      <x:c r="C16" s="18" t="d">
        <x:v>2018-02-15T14:02:59.332Z</x:v>
      </x:c>
      <x:c r="D16" s="18" t="d">
        <x:v>2018-02-15T14:02:59.332Z</x:v>
      </x:c>
      <x:c r="E16" s="19" t="n">
        <x:v>0</x:v>
      </x:c>
      <x:c r="F16" s="15" t="n">
        <x:v>2</x:v>
      </x:c>
      <x:c r="G16" s="15" t="n">
        <x:v>1</x:v>
      </x:c>
      <x:c r="H16" s="15" t="n">
        <x:v>1</x:v>
      </x:c>
      <x:c r="I16" s="15" t="n">
        <x:v>1</x:v>
      </x:c>
    </x:row>
    <x:row r="17" ht="24" customHeight="1">
      <x:c r="A17" s="15" t="n">
        <x:v>13</x:v>
      </x:c>
      <x:c r="B17" s="15" t="str">
        <x:v>DoS_attacks-GoldenEye</x:v>
      </x:c>
      <x:c r="C17" s="18" t="d">
        <x:v>2018-02-15T14:11:45.794Z</x:v>
      </x:c>
      <x:c r="D17" s="18" t="d">
        <x:v>2018-02-15T14:11:45.874Z</x:v>
      </x:c>
      <x:c r="E17" s="19" t="n">
        <x:v>0.08</x:v>
      </x:c>
      <x:c r="F17" s="15" t="n">
        <x:v>2070</x:v>
      </x:c>
      <x:c r="G17" s="15" t="n">
        <x:v>1</x:v>
      </x:c>
      <x:c r="H17" s="15" t="n">
        <x:v>1</x:v>
      </x:c>
      <x:c r="I17" s="15" t="n">
        <x:v>1</x:v>
      </x:c>
    </x:row>
    <x:row r="18" ht="24" customHeight="1">
      <x:c r="A18" s="15" t="n">
        <x:v>14</x:v>
      </x:c>
      <x:c r="B18" s="15" t="str">
        <x:v>DoS_attacks-Hulk</x:v>
      </x:c>
      <x:c r="C18" s="18" t="d">
        <x:v>2018-02-16T17:45:27.825Z</x:v>
      </x:c>
      <x:c r="D18" s="18" t="d">
        <x:v>2018-02-16T17:58:22.098Z</x:v>
      </x:c>
      <x:c r="E18" s="19" t="n">
        <x:v>774.272</x:v>
      </x:c>
      <x:c r="F18" s="15" t="n">
        <x:v>100076</x:v>
      </x:c>
      <x:c r="G18" s="15" t="n">
        <x:v>9</x:v>
      </x:c>
      <x:c r="H18" s="15" t="n">
        <x:v>1</x:v>
      </x:c>
      <x:c r="I18" s="15" t="n">
        <x:v>73</x:v>
      </x:c>
    </x:row>
    <x:row r="19" ht="24" customHeight="1">
      <x:c r="A19" s="15" t="n">
        <x:v>15</x:v>
      </x:c>
      <x:c r="B19" s="15" t="str">
        <x:v>DoS_attacks-SlowHTTPTest</x:v>
      </x:c>
      <x:c r="C19" s="18" t="d">
        <x:v>2018-02-16T14:12:14.134Z</x:v>
      </x:c>
      <x:c r="D19" s="18" t="d">
        <x:v>2018-02-16T15:05:13.888Z</x:v>
      </x:c>
      <x:c r="E19" s="19" t="n">
        <x:v>3179.754</x:v>
      </x:c>
      <x:c r="F19" s="15" t="n">
        <x:v>105550</x:v>
      </x:c>
      <x:c r="G19" s="15" t="n">
        <x:v>33</x:v>
      </x:c>
      <x:c r="H19" s="15" t="n">
        <x:v>1</x:v>
      </x:c>
      <x:c r="I19" s="15" t="n">
        <x:v>319</x:v>
      </x:c>
    </x:row>
    <x:row r="20" ht="24" customHeight="1">
      <x:c r="A20" s="15" t="n">
        <x:v>16</x:v>
      </x:c>
      <x:c r="B20" s="15" t="str">
        <x:v>DoS_attacks-Slowloris</x:v>
      </x:c>
      <x:c r="C20" s="18" t="d">
        <x:v>2018-02-15T15:00:12.551Z</x:v>
      </x:c>
      <x:c r="D20" s="18" t="d">
        <x:v>2018-02-15T15:41:34.482Z</x:v>
      </x:c>
      <x:c r="E20" s="19" t="n">
        <x:v>2481.931</x:v>
      </x:c>
      <x:c r="F20" s="15" t="n">
        <x:v>36040</x:v>
      </x:c>
      <x:c r="G20" s="15" t="n">
        <x:v>25</x:v>
      </x:c>
      <x:c r="H20" s="15" t="n">
        <x:v>1</x:v>
      </x:c>
      <x:c r="I20" s="15" t="n">
        <x:v>249</x:v>
      </x:c>
    </x:row>
    <x:row r="21" ht="24" customHeight="1">
      <x:c r="A21" s="15" t="n">
        <x:v>17</x:v>
      </x:c>
      <x:c r="B21" s="15" t="str">
        <x:v>FTP-BruteForce</x:v>
      </x:c>
      <x:c r="C21" s="18" t="d">
        <x:v>2018-02-14T14:33:26.718Z</x:v>
      </x:c>
      <x:c r="D21" s="18" t="d">
        <x:v>2018-02-14T16:10:31.995Z</x:v>
      </x:c>
      <x:c r="E21" s="19" t="n">
        <x:v>5825.278</x:v>
      </x:c>
      <x:c r="F21" s="15" t="n">
        <x:v>386720</x:v>
      </x:c>
      <x:c r="G21" s="15" t="n">
        <x:v>59</x:v>
      </x:c>
      <x:c r="H21" s="15" t="n">
        <x:v>1</x:v>
      </x:c>
      <x:c r="I21" s="15" t="n">
        <x:v>584</x:v>
      </x:c>
    </x:row>
    <x:row r="22" ht="24" customHeight="1">
      <x:c r="A22" s="15" t="n">
        <x:v>18</x:v>
      </x:c>
      <x:c r="B22" s="15" t="str">
        <x:v>Infilteration</x:v>
      </x:c>
      <x:c r="C22" s="18" t="d">
        <x:v>2018-02-28T12:22:05.767Z</x:v>
      </x:c>
      <x:c r="D22" s="18" t="d">
        <x:v>2018-02-28T21:49:50.254Z</x:v>
      </x:c>
      <x:c r="E22" s="19" t="n">
        <x:v>34064.487</x:v>
      </x:c>
      <x:c r="F22" s="15" t="n">
        <x:v>84327</x:v>
      </x:c>
      <x:c r="G22" s="15" t="n">
        <x:v>3261</x:v>
      </x:c>
      <x:c r="H22" s="15" t="n">
        <x:v>294</x:v>
      </x:c>
      <x:c r="I22" s="15" t="n">
        <x:v>2887</x:v>
      </x:c>
    </x:row>
    <x:row r="23" ht="24" customHeight="1">
      <x:c r="A23" s="15" t="n">
        <x:v>19</x:v>
      </x:c>
      <x:c r="B23" s="15" t="str">
        <x:v>Infilteration</x:v>
      </x:c>
      <x:c r="C23" s="18" t="d">
        <x:v>2018-03-01T12:16:36.888Z</x:v>
      </x:c>
      <x:c r="D23" s="18" t="d">
        <x:v>2018-03-01T21:35:16.517Z</x:v>
      </x:c>
      <x:c r="E23" s="19" t="n">
        <x:v>33519.629</x:v>
      </x:c>
      <x:c r="F23" s="15" t="n">
        <x:v>103823</x:v>
      </x:c>
      <x:c r="G23" s="15" t="n">
        <x:v>3372</x:v>
      </x:c>
      <x:c r="H23" s="15" t="n">
        <x:v>380</x:v>
      </x:c>
      <x:c r="I23" s="15" t="n">
        <x:v>2673</x:v>
      </x:c>
    </x:row>
    <x:row r="24" ht="24" customHeight="1">
      <x:c r="A24" s="15" t="n">
        <x:v>20</x:v>
      </x:c>
      <x:c r="B24" s="15" t="str">
        <x:v>Infilteration</x:v>
      </x:c>
      <x:c r="C24" s="18" t="d">
        <x:v>2018-03-01T21:40:18.782Z</x:v>
      </x:c>
      <x:c r="D24" s="18" t="d">
        <x:v>2018-03-01T21:40:18.782Z</x:v>
      </x:c>
      <x:c r="E24" s="19" t="n">
        <x:v>0</x:v>
      </x:c>
      <x:c r="F24" s="15" t="n">
        <x:v>2</x:v>
      </x:c>
      <x:c r="G24" s="15" t="n">
        <x:v>1</x:v>
      </x:c>
      <x:c r="H24" s="15" t="n">
        <x:v>1</x:v>
      </x:c>
      <x:c r="I24" s="15" t="n">
        <x:v>1</x:v>
      </x:c>
    </x:row>
    <x:row r="25" ht="24" customHeight="1">
      <x:c r="A25" s="15" t="n">
        <x:v>21</x:v>
      </x:c>
      <x:c r="B25" s="15" t="str">
        <x:v>SQL_Injection</x:v>
      </x:c>
      <x:c r="C25" s="18" t="d">
        <x:v>2018-02-22T15:09:40.675Z</x:v>
      </x:c>
      <x:c r="D25" s="18" t="d">
        <x:v>2018-02-22T20:27:51.010Z</x:v>
      </x:c>
      <x:c r="E25" s="19" t="n">
        <x:v>19090.335</x:v>
      </x:c>
      <x:c r="F25" s="15" t="n">
        <x:v>440</x:v>
      </x:c>
      <x:c r="G25" s="15" t="n">
        <x:v>388</x:v>
      </x:c>
      <x:c r="H25" s="15" t="n">
        <x:v>4</x:v>
      </x:c>
      <x:c r="I25" s="15" t="n">
        <x:v>408</x:v>
      </x:c>
    </x:row>
    <x:row r="26" ht="24" customHeight="1">
      <x:c r="A26" s="15" t="n">
        <x:v>22</x:v>
      </x:c>
      <x:c r="B26" s="15" t="str">
        <x:v>SSH-Bruteforce</x:v>
      </x:c>
      <x:c r="C26" s="18" t="d">
        <x:v>2018-02-14T18:01:21.199Z</x:v>
      </x:c>
      <x:c r="D26" s="18" t="d">
        <x:v>2018-02-14T19:32:30.288Z</x:v>
      </x:c>
      <x:c r="E26" s="19" t="n">
        <x:v>5469.089</x:v>
      </x:c>
      <x:c r="F26" s="15" t="n">
        <x:v>188474</x:v>
      </x:c>
      <x:c r="G26" s="15" t="n">
        <x:v>56</x:v>
      </x:c>
      <x:c r="H26" s="15" t="n">
        <x:v>1</x:v>
      </x:c>
      <x:c r="I26" s="15" t="n">
        <x:v>546</x:v>
      </x:c>
    </x:row>
  </x:sheetData>
  <x:pageMargins left="0.7" right="0.7" top="0.75" bottom="0.75" header="0.3" footer="0.3"/>
  <x:tableParts count="1">
    <x:tablePart xmlns:r="http://schemas.openxmlformats.org/officeDocument/2006/relationships" r:id="R9bf3bc59c173428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Candidate assignments and exclusions by UTC date</x:v>
      </x:c>
      <x:c r="B2" s="2"/>
      <x:c r="C2" s="2"/>
      <x:c r="D2" s="2"/>
      <x:c r="E2" s="2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56" customHeight="1">
      <x:c r="A4" s="12" t="str">
        <x:v>Candidate</x:v>
      </x:c>
      <x:c r="B4" s="13" t="str">
        <x:v>Split</x:v>
      </x:c>
      <x:c r="C4" s="13" t="str">
        <x:v>UTC date</x:v>
      </x:c>
      <x:c r="D4" s="13" t="str">
        <x:v>Sequences</x:v>
      </x:c>
      <x:c r="E4" s="13" t="str">
        <x:v>Positive sequences</x:v>
      </x:c>
      <x:c r="F4" s="13" t="str">
        <x:v>Flows</x:v>
      </x:c>
      <x:c r="G4" s="14" t="str">
        <x:v>Attack flows</x:v>
      </x:c>
    </x:row>
    <x:row r="5" ht="24" customHeight="1">
      <x:c r="A5" s="15" t="str">
        <x:v>random_100s</x:v>
      </x:c>
      <x:c r="B5" s="15" t="str">
        <x:v>train</x:v>
      </x:c>
      <x:c r="C5" s="18" t="d">
        <x:v>2018-02-14T00:00:00.000Z</x:v>
      </x:c>
      <x:c r="D5" s="15" t="n">
        <x:v>86061</x:v>
      </x:c>
      <x:c r="E5" s="15" t="n">
        <x:v>69</x:v>
      </x:c>
      <x:c r="F5" s="15" t="n">
        <x:v>1279392</x:v>
      </x:c>
      <x:c r="G5" s="15" t="n">
        <x:v>343088</x:v>
      </x:c>
    </x:row>
    <x:row r="6" ht="24" customHeight="1">
      <x:c r="A6" s="15" t="str">
        <x:v>random_100s</x:v>
      </x:c>
      <x:c r="B6" s="15" t="str">
        <x:v>train</x:v>
      </x:c>
      <x:c r="C6" s="18" t="d">
        <x:v>2018-02-15T00:00:00.000Z</x:v>
      </x:c>
      <x:c r="D6" s="15" t="n">
        <x:v>77389</x:v>
      </x:c>
      <x:c r="E6" s="15" t="n">
        <x:v>23</x:v>
      </x:c>
      <x:c r="F6" s="15" t="n">
        <x:v>1014103</x:v>
      </x:c>
      <x:c r="G6" s="15" t="n">
        <x:v>53152</x:v>
      </x:c>
    </x:row>
    <x:row r="7" ht="24" customHeight="1">
      <x:c r="A7" s="15" t="str">
        <x:v>random_100s</x:v>
      </x:c>
      <x:c r="B7" s="15" t="str">
        <x:v>train</x:v>
      </x:c>
      <x:c r="C7" s="18" t="d">
        <x:v>2018-02-16T00:00:00.000Z</x:v>
      </x:c>
      <x:c r="D7" s="15" t="n">
        <x:v>73637</x:v>
      </x:c>
      <x:c r="E7" s="15" t="n">
        <x:v>25</x:v>
      </x:c>
      <x:c r="F7" s="15" t="n">
        <x:v>1070809</x:v>
      </x:c>
      <x:c r="G7" s="15" t="n">
        <x:v>116049</x:v>
      </x:c>
    </x:row>
    <x:row r="8" ht="24" customHeight="1">
      <x:c r="A8" s="15" t="str">
        <x:v>random_100s</x:v>
      </x:c>
      <x:c r="B8" s="15" t="str">
        <x:v>train</x:v>
      </x:c>
      <x:c r="C8" s="18" t="d">
        <x:v>2018-02-20T00:00:00.000Z</x:v>
      </x:c>
      <x:c r="D8" s="15" t="n">
        <x:v>87931</x:v>
      </x:c>
      <x:c r="E8" s="15" t="n">
        <x:v>283</x:v>
      </x:c>
      <x:c r="F8" s="15" t="n">
        <x:v>1103781</x:v>
      </x:c>
      <x:c r="G8" s="15" t="n">
        <x:v>175795</x:v>
      </x:c>
    </x:row>
    <x:row r="9" ht="24" customHeight="1">
      <x:c r="A9" s="15" t="str">
        <x:v>random_100s</x:v>
      </x:c>
      <x:c r="B9" s="15" t="str">
        <x:v>train</x:v>
      </x:c>
      <x:c r="C9" s="18" t="d">
        <x:v>2018-02-21T00:00:00.000Z</x:v>
      </x:c>
      <x:c r="D9" s="15" t="n">
        <x:v>89641</x:v>
      </x:c>
      <x:c r="E9" s="15" t="n">
        <x:v>317</x:v>
      </x:c>
      <x:c r="F9" s="15" t="n">
        <x:v>1641128</x:v>
      </x:c>
      <x:c r="G9" s="15" t="n">
        <x:v>638601</x:v>
      </x:c>
    </x:row>
    <x:row r="10" ht="24" customHeight="1">
      <x:c r="A10" s="15" t="str">
        <x:v>random_100s</x:v>
      </x:c>
      <x:c r="B10" s="15" t="str">
        <x:v>train</x:v>
      </x:c>
      <x:c r="C10" s="18" t="d">
        <x:v>2018-02-22T00:00:00.000Z</x:v>
      </x:c>
      <x:c r="D10" s="15" t="n">
        <x:v>95000</x:v>
      </x:c>
      <x:c r="E10" s="15" t="n">
        <x:v>1021</x:v>
      </x:c>
      <x:c r="F10" s="15" t="n">
        <x:v>1216808</x:v>
      </x:c>
      <x:c r="G10" s="15" t="n">
        <x:v>1534</x:v>
      </x:c>
    </x:row>
    <x:row r="11" ht="24" customHeight="1">
      <x:c r="A11" s="15" t="str">
        <x:v>random_100s</x:v>
      </x:c>
      <x:c r="B11" s="15" t="str">
        <x:v>train</x:v>
      </x:c>
      <x:c r="C11" s="18" t="d">
        <x:v>2018-02-23T00:00:00.000Z</x:v>
      </x:c>
      <x:c r="D11" s="15" t="n">
        <x:v>90220</x:v>
      </x:c>
      <x:c r="E11" s="15" t="n">
        <x:v>0</x:v>
      </x:c>
      <x:c r="F11" s="15" t="n">
        <x:v>1152503</x:v>
      </x:c>
      <x:c r="G11" s="15" t="n">
        <x:v>0</x:v>
      </x:c>
    </x:row>
    <x:row r="12" ht="24" customHeight="1">
      <x:c r="A12" s="15" t="str">
        <x:v>random_100s</x:v>
      </x:c>
      <x:c r="B12" s="15" t="str">
        <x:v>train</x:v>
      </x:c>
      <x:c r="C12" s="18" t="d">
        <x:v>2018-02-27T00:00:00.000Z</x:v>
      </x:c>
      <x:c r="D12" s="15" t="n">
        <x:v>225</x:v>
      </x:c>
      <x:c r="E12" s="15" t="n">
        <x:v>0</x:v>
      </x:c>
      <x:c r="F12" s="15" t="n">
        <x:v>499</x:v>
      </x:c>
      <x:c r="G12" s="15" t="n">
        <x:v>0</x:v>
      </x:c>
    </x:row>
    <x:row r="13" ht="24" customHeight="1">
      <x:c r="A13" s="15" t="str">
        <x:v>random_100s</x:v>
      </x:c>
      <x:c r="B13" s="15" t="str">
        <x:v>train</x:v>
      </x:c>
      <x:c r="C13" s="18" t="d">
        <x:v>2018-02-28T00:00:00.000Z</x:v>
      </x:c>
      <x:c r="D13" s="15" t="n">
        <x:v>98821</x:v>
      </x:c>
      <x:c r="E13" s="15" t="n">
        <x:v>1934</x:v>
      </x:c>
      <x:c r="F13" s="15" t="n">
        <x:v>1203526</x:v>
      </x:c>
      <x:c r="G13" s="15" t="n">
        <x:v>46442</x:v>
      </x:c>
    </x:row>
    <x:row r="14" ht="24" customHeight="1">
      <x:c r="A14" s="15" t="str">
        <x:v>random_100s</x:v>
      </x:c>
      <x:c r="B14" s="15" t="str">
        <x:v>train</x:v>
      </x:c>
      <x:c r="C14" s="18" t="d">
        <x:v>2018-03-01T00:00:00.000Z</x:v>
      </x:c>
      <x:c r="D14" s="15" t="n">
        <x:v>98304</x:v>
      </x:c>
      <x:c r="E14" s="15" t="n">
        <x:v>2046</x:v>
      </x:c>
      <x:c r="F14" s="15" t="n">
        <x:v>1296381</x:v>
      </x:c>
      <x:c r="G14" s="15" t="n">
        <x:v>67471</x:v>
      </x:c>
    </x:row>
    <x:row r="15" ht="24" customHeight="1">
      <x:c r="A15" s="15" t="str">
        <x:v>random_100s</x:v>
      </x:c>
      <x:c r="B15" s="15" t="str">
        <x:v>train</x:v>
      </x:c>
      <x:c r="C15" s="18" t="d">
        <x:v>2018-03-02T00:00:00.000Z</x:v>
      </x:c>
      <x:c r="D15" s="15" t="n">
        <x:v>82769</x:v>
      </x:c>
      <x:c r="E15" s="15" t="n">
        <x:v>832</x:v>
      </x:c>
      <x:c r="F15" s="15" t="n">
        <x:v>1098899</x:v>
      </x:c>
      <x:c r="G15" s="15" t="n">
        <x:v>123512</x:v>
      </x:c>
    </x:row>
    <x:row r="16" ht="24" customHeight="1">
      <x:c r="A16" s="15" t="str">
        <x:v>random_100s</x:v>
      </x:c>
      <x:c r="B16" s="15" t="str">
        <x:v>validation</x:v>
      </x:c>
      <x:c r="C16" s="18" t="d">
        <x:v>2018-02-14T00:00:00.000Z</x:v>
      </x:c>
      <x:c r="D16" s="15" t="n">
        <x:v>28646</x:v>
      </x:c>
      <x:c r="E16" s="15" t="n">
        <x:v>23</x:v>
      </x:c>
      <x:c r="F16" s="15" t="n">
        <x:v>431080</x:v>
      </x:c>
      <x:c r="G16" s="15" t="n">
        <x:v>117744</x:v>
      </x:c>
    </x:row>
    <x:row r="17" ht="24" customHeight="1">
      <x:c r="A17" s="15" t="str">
        <x:v>random_100s</x:v>
      </x:c>
      <x:c r="B17" s="15" t="str">
        <x:v>validation</x:v>
      </x:c>
      <x:c r="C17" s="18" t="d">
        <x:v>2018-02-15T00:00:00.000Z</x:v>
      </x:c>
      <x:c r="D17" s="15" t="n">
        <x:v>25781</x:v>
      </x:c>
      <x:c r="E17" s="15" t="n">
        <x:v>8</x:v>
      </x:c>
      <x:c r="F17" s="15" t="n">
        <x:v>328882</x:v>
      </x:c>
      <x:c r="G17" s="15" t="n">
        <x:v>19450</x:v>
      </x:c>
    </x:row>
    <x:row r="18" ht="24" customHeight="1">
      <x:c r="A18" s="15" t="str">
        <x:v>random_100s</x:v>
      </x:c>
      <x:c r="B18" s="15" t="str">
        <x:v>validation</x:v>
      </x:c>
      <x:c r="C18" s="18" t="d">
        <x:v>2018-02-16T00:00:00.000Z</x:v>
      </x:c>
      <x:c r="D18" s="15" t="n">
        <x:v>24432</x:v>
      </x:c>
      <x:c r="E18" s="15" t="n">
        <x:v>9</x:v>
      </x:c>
      <x:c r="F18" s="15" t="n">
        <x:v>356037</x:v>
      </x:c>
      <x:c r="G18" s="15" t="n">
        <x:v>46842</x:v>
      </x:c>
    </x:row>
    <x:row r="19" ht="24" customHeight="1">
      <x:c r="A19" s="15" t="str">
        <x:v>random_100s</x:v>
      </x:c>
      <x:c r="B19" s="15" t="str">
        <x:v>validation</x:v>
      </x:c>
      <x:c r="C19" s="18" t="d">
        <x:v>2018-02-20T00:00:00.000Z</x:v>
      </x:c>
      <x:c r="D19" s="15" t="n">
        <x:v>29149</x:v>
      </x:c>
      <x:c r="E19" s="15" t="n">
        <x:v>94</x:v>
      </x:c>
      <x:c r="F19" s="15" t="n">
        <x:v>361263</x:v>
      </x:c>
      <x:c r="G19" s="15" t="n">
        <x:v>54170</x:v>
      </x:c>
    </x:row>
    <x:row r="20" ht="24" customHeight="1">
      <x:c r="A20" s="15" t="str">
        <x:v>random_100s</x:v>
      </x:c>
      <x:c r="B20" s="15" t="str">
        <x:v>validation</x:v>
      </x:c>
      <x:c r="C20" s="18" t="d">
        <x:v>2018-02-21T00:00:00.000Z</x:v>
      </x:c>
      <x:c r="D20" s="15" t="n">
        <x:v>29885</x:v>
      </x:c>
      <x:c r="E20" s="15" t="n">
        <x:v>106</x:v>
      </x:c>
      <x:c r="F20" s="15" t="n">
        <x:v>546413</x:v>
      </x:c>
      <x:c r="G20" s="15" t="n">
        <x:v>207016</x:v>
      </x:c>
    </x:row>
    <x:row r="21" ht="24" customHeight="1">
      <x:c r="A21" s="15" t="str">
        <x:v>random_100s</x:v>
      </x:c>
      <x:c r="B21" s="15" t="str">
        <x:v>validation</x:v>
      </x:c>
      <x:c r="C21" s="18" t="d">
        <x:v>2018-02-22T00:00:00.000Z</x:v>
      </x:c>
      <x:c r="D21" s="15" t="n">
        <x:v>31771</x:v>
      </x:c>
      <x:c r="E21" s="15" t="n">
        <x:v>341</x:v>
      </x:c>
      <x:c r="F21" s="15" t="n">
        <x:v>420118</x:v>
      </x:c>
      <x:c r="G21" s="15" t="n">
        <x:v>514</x:v>
      </x:c>
    </x:row>
    <x:row r="22" ht="24" customHeight="1">
      <x:c r="A22" s="15" t="str">
        <x:v>random_100s</x:v>
      </x:c>
      <x:c r="B22" s="15" t="str">
        <x:v>validation</x:v>
      </x:c>
      <x:c r="C22" s="18" t="d">
        <x:v>2018-02-23T00:00:00.000Z</x:v>
      </x:c>
      <x:c r="D22" s="15" t="n">
        <x:v>29889</x:v>
      </x:c>
      <x:c r="E22" s="15" t="n">
        <x:v>0</x:v>
      </x:c>
      <x:c r="F22" s="15" t="n">
        <x:v>389437</x:v>
      </x:c>
      <x:c r="G22" s="15" t="n">
        <x:v>0</x:v>
      </x:c>
    </x:row>
    <x:row r="23" ht="24" customHeight="1">
      <x:c r="A23" s="15" t="str">
        <x:v>random_100s</x:v>
      </x:c>
      <x:c r="B23" s="15" t="str">
        <x:v>validation</x:v>
      </x:c>
      <x:c r="C23" s="18" t="d">
        <x:v>2018-02-27T00:00:00.000Z</x:v>
      </x:c>
      <x:c r="D23" s="15" t="n">
        <x:v>73</x:v>
      </x:c>
      <x:c r="E23" s="15" t="n">
        <x:v>0</x:v>
      </x:c>
      <x:c r="F23" s="15" t="n">
        <x:v>129</x:v>
      </x:c>
      <x:c r="G23" s="15" t="n">
        <x:v>0</x:v>
      </x:c>
    </x:row>
    <x:row r="24" ht="24" customHeight="1">
      <x:c r="A24" s="15" t="str">
        <x:v>random_100s</x:v>
      </x:c>
      <x:c r="B24" s="15" t="str">
        <x:v>validation</x:v>
      </x:c>
      <x:c r="C24" s="18" t="d">
        <x:v>2018-02-28T00:00:00.000Z</x:v>
      </x:c>
      <x:c r="D24" s="15" t="n">
        <x:v>33054</x:v>
      </x:c>
      <x:c r="E24" s="15" t="n">
        <x:v>652</x:v>
      </x:c>
      <x:c r="F24" s="15" t="n">
        <x:v>422710</x:v>
      </x:c>
      <x:c r="G24" s="15" t="n">
        <x:v>18514</x:v>
      </x:c>
    </x:row>
    <x:row r="25" ht="24" customHeight="1">
      <x:c r="A25" s="15" t="str">
        <x:v>random_100s</x:v>
      </x:c>
      <x:c r="B25" s="15" t="str">
        <x:v>validation</x:v>
      </x:c>
      <x:c r="C25" s="18" t="d">
        <x:v>2018-03-01T00:00:00.000Z</x:v>
      </x:c>
      <x:c r="D25" s="15" t="n">
        <x:v>33051</x:v>
      </x:c>
      <x:c r="E25" s="15" t="n">
        <x:v>675</x:v>
      </x:c>
      <x:c r="F25" s="15" t="n">
        <x:v>422928</x:v>
      </x:c>
      <x:c r="G25" s="15" t="n">
        <x:v>19180</x:v>
      </x:c>
    </x:row>
    <x:row r="26" ht="24" customHeight="1">
      <x:c r="A26" s="15" t="str">
        <x:v>random_100s</x:v>
      </x:c>
      <x:c r="B26" s="15" t="str">
        <x:v>validation</x:v>
      </x:c>
      <x:c r="C26" s="18" t="d">
        <x:v>2018-03-02T00:00:00.000Z</x:v>
      </x:c>
      <x:c r="D26" s="15" t="n">
        <x:v>27605</x:v>
      </x:c>
      <x:c r="E26" s="15" t="n">
        <x:v>278</x:v>
      </x:c>
      <x:c r="F26" s="15" t="n">
        <x:v>363234</x:v>
      </x:c>
      <x:c r="G26" s="15" t="n">
        <x:v>41293</x:v>
      </x:c>
    </x:row>
    <x:row r="27" ht="24" customHeight="1">
      <x:c r="A27" s="15" t="str">
        <x:v>random_100s</x:v>
      </x:c>
      <x:c r="B27" s="15" t="str">
        <x:v>test</x:v>
      </x:c>
      <x:c r="C27" s="18" t="d">
        <x:v>2018-02-14T00:00:00.000Z</x:v>
      </x:c>
      <x:c r="D27" s="15" t="n">
        <x:v>28823</x:v>
      </x:c>
      <x:c r="E27" s="15" t="n">
        <x:v>23</x:v>
      </x:c>
      <x:c r="F27" s="15" t="n">
        <x:v>428366</x:v>
      </x:c>
      <x:c r="G27" s="15" t="n">
        <x:v>114362</x:v>
      </x:c>
    </x:row>
    <x:row r="28" ht="24" customHeight="1">
      <x:c r="A28" s="15" t="str">
        <x:v>random_100s</x:v>
      </x:c>
      <x:c r="B28" s="15" t="str">
        <x:v>test</x:v>
      </x:c>
      <x:c r="C28" s="18" t="d">
        <x:v>2018-02-15T00:00:00.000Z</x:v>
      </x:c>
      <x:c r="D28" s="15" t="n">
        <x:v>25550</x:v>
      </x:c>
      <x:c r="E28" s="15" t="n">
        <x:v>8</x:v>
      </x:c>
      <x:c r="F28" s="15" t="n">
        <x:v>322336</x:v>
      </x:c>
      <x:c r="G28" s="15" t="n">
        <x:v>24738</x:v>
      </x:c>
    </x:row>
    <x:row r="29" ht="24" customHeight="1">
      <x:c r="A29" s="15" t="str">
        <x:v>random_100s</x:v>
      </x:c>
      <x:c r="B29" s="15" t="str">
        <x:v>test</x:v>
      </x:c>
      <x:c r="C29" s="18" t="d">
        <x:v>2018-02-16T00:00:00.000Z</x:v>
      </x:c>
      <x:c r="D29" s="15" t="n">
        <x:v>24718</x:v>
      </x:c>
      <x:c r="E29" s="15" t="n">
        <x:v>8</x:v>
      </x:c>
      <x:c r="F29" s="15" t="n">
        <x:v>357283</x:v>
      </x:c>
      <x:c r="G29" s="15" t="n">
        <x:v>42735</x:v>
      </x:c>
    </x:row>
    <x:row r="30" ht="24" customHeight="1">
      <x:c r="A30" s="15" t="str">
        <x:v>random_100s</x:v>
      </x:c>
      <x:c r="B30" s="15" t="str">
        <x:v>test</x:v>
      </x:c>
      <x:c r="C30" s="18" t="d">
        <x:v>2018-02-20T00:00:00.000Z</x:v>
      </x:c>
      <x:c r="D30" s="15" t="n">
        <x:v>29425</x:v>
      </x:c>
      <x:c r="E30" s="15" t="n">
        <x:v>94</x:v>
      </x:c>
      <x:c r="F30" s="15" t="n">
        <x:v>364815</x:v>
      </x:c>
      <x:c r="G30" s="15" t="n">
        <x:v>58624</x:v>
      </x:c>
    </x:row>
    <x:row r="31" ht="24" customHeight="1">
      <x:c r="A31" s="15" t="str">
        <x:v>random_100s</x:v>
      </x:c>
      <x:c r="B31" s="15" t="str">
        <x:v>test</x:v>
      </x:c>
      <x:c r="C31" s="18" t="d">
        <x:v>2018-02-21T00:00:00.000Z</x:v>
      </x:c>
      <x:c r="D31" s="15" t="n">
        <x:v>29615</x:v>
      </x:c>
      <x:c r="E31" s="15" t="n">
        <x:v>105</x:v>
      </x:c>
      <x:c r="F31" s="15" t="n">
        <x:v>525262</x:v>
      </x:c>
      <x:c r="G31" s="15" t="n">
        <x:v>190144</x:v>
      </x:c>
    </x:row>
    <x:row r="32" ht="24" customHeight="1">
      <x:c r="A32" s="15" t="str">
        <x:v>random_100s</x:v>
      </x:c>
      <x:c r="B32" s="15" t="str">
        <x:v>test</x:v>
      </x:c>
      <x:c r="C32" s="18" t="d">
        <x:v>2018-02-22T00:00:00.000Z</x:v>
      </x:c>
      <x:c r="D32" s="15" t="n">
        <x:v>31538</x:v>
      </x:c>
      <x:c r="E32" s="15" t="n">
        <x:v>340</x:v>
      </x:c>
      <x:c r="F32" s="15" t="n">
        <x:v>403202</x:v>
      </x:c>
      <x:c r="G32" s="15" t="n">
        <x:v>490</x:v>
      </x:c>
    </x:row>
    <x:row r="33" ht="24" customHeight="1">
      <x:c r="A33" s="15" t="str">
        <x:v>random_100s</x:v>
      </x:c>
      <x:c r="B33" s="15" t="str">
        <x:v>test</x:v>
      </x:c>
      <x:c r="C33" s="18" t="d">
        <x:v>2018-02-23T00:00:00.000Z</x:v>
      </x:c>
      <x:c r="D33" s="15" t="n">
        <x:v>30340</x:v>
      </x:c>
      <x:c r="E33" s="15" t="n">
        <x:v>0</x:v>
      </x:c>
      <x:c r="F33" s="15" t="n">
        <x:v>391062</x:v>
      </x:c>
      <x:c r="G33" s="15" t="n">
        <x:v>0</x:v>
      </x:c>
    </x:row>
    <x:row r="34" ht="24" customHeight="1">
      <x:c r="A34" s="15" t="str">
        <x:v>random_100s</x:v>
      </x:c>
      <x:c r="B34" s="15" t="str">
        <x:v>test</x:v>
      </x:c>
      <x:c r="C34" s="18" t="d">
        <x:v>2018-02-27T00:00:00.000Z</x:v>
      </x:c>
      <x:c r="D34" s="15" t="n">
        <x:v>78</x:v>
      </x:c>
      <x:c r="E34" s="15" t="n">
        <x:v>0</x:v>
      </x:c>
      <x:c r="F34" s="15" t="n">
        <x:v>200</x:v>
      </x:c>
      <x:c r="G34" s="15" t="n">
        <x:v>0</x:v>
      </x:c>
    </x:row>
    <x:row r="35" ht="24" customHeight="1">
      <x:c r="A35" s="15" t="str">
        <x:v>random_100s</x:v>
      </x:c>
      <x:c r="B35" s="15" t="str">
        <x:v>test</x:v>
      </x:c>
      <x:c r="C35" s="18" t="d">
        <x:v>2018-02-28T00:00:00.000Z</x:v>
      </x:c>
      <x:c r="D35" s="15" t="n">
        <x:v>32724</x:v>
      </x:c>
      <x:c r="E35" s="15" t="n">
        <x:v>675</x:v>
      </x:c>
      <x:c r="F35" s="15" t="n">
        <x:v>406491</x:v>
      </x:c>
      <x:c r="G35" s="15" t="n">
        <x:v>19371</x:v>
      </x:c>
    </x:row>
    <x:row r="36" ht="24" customHeight="1">
      <x:c r="A36" s="15" t="str">
        <x:v>random_100s</x:v>
      </x:c>
      <x:c r="B36" s="15" t="str">
        <x:v>test</x:v>
      </x:c>
      <x:c r="C36" s="18" t="d">
        <x:v>2018-03-01T00:00:00.000Z</x:v>
      </x:c>
      <x:c r="D36" s="15" t="n">
        <x:v>32878</x:v>
      </x:c>
      <x:c r="E36" s="15" t="n">
        <x:v>652</x:v>
      </x:c>
      <x:c r="F36" s="15" t="n">
        <x:v>428224</x:v>
      </x:c>
      <x:c r="G36" s="15" t="n">
        <x:v>17174</x:v>
      </x:c>
    </x:row>
    <x:row r="37" ht="24" customHeight="1">
      <x:c r="A37" s="15" t="str">
        <x:v>random_100s</x:v>
      </x:c>
      <x:c r="B37" s="15" t="str">
        <x:v>test</x:v>
      </x:c>
      <x:c r="C37" s="18" t="d">
        <x:v>2018-03-02T00:00:00.000Z</x:v>
      </x:c>
      <x:c r="D37" s="15" t="n">
        <x:v>27642</x:v>
      </x:c>
      <x:c r="E37" s="15" t="n">
        <x:v>277</x:v>
      </x:c>
      <x:c r="F37" s="15" t="n">
        <x:v>368228</x:v>
      </x:c>
      <x:c r="G37" s="15" t="n">
        <x:v>42898</x:v>
      </x:c>
    </x:row>
    <x:row r="38" ht="24" customHeight="1">
      <x:c r="A38" s="15" t="str">
        <x:v>chronological</x:v>
      </x:c>
      <x:c r="B38" s="15" t="str">
        <x:v>train</x:v>
      </x:c>
      <x:c r="C38" s="18" t="d">
        <x:v>2018-02-14T00:00:00.000Z</x:v>
      </x:c>
      <x:c r="D38" s="15" t="n">
        <x:v>143530</x:v>
      </x:c>
      <x:c r="E38" s="15" t="n">
        <x:v>115</x:v>
      </x:c>
      <x:c r="F38" s="15" t="n">
        <x:v>2138838</x:v>
      </x:c>
      <x:c r="G38" s="15" t="n">
        <x:v>575194</x:v>
      </x:c>
    </x:row>
    <x:row r="39" ht="24" customHeight="1">
      <x:c r="A39" s="15" t="str">
        <x:v>chronological</x:v>
      </x:c>
      <x:c r="B39" s="15" t="str">
        <x:v>train</x:v>
      </x:c>
      <x:c r="C39" s="18" t="d">
        <x:v>2018-02-15T00:00:00.000Z</x:v>
      </x:c>
      <x:c r="D39" s="15" t="n">
        <x:v>128720</x:v>
      </x:c>
      <x:c r="E39" s="15" t="n">
        <x:v>39</x:v>
      </x:c>
      <x:c r="F39" s="15" t="n">
        <x:v>1665321</x:v>
      </x:c>
      <x:c r="G39" s="15" t="n">
        <x:v>97340</x:v>
      </x:c>
    </x:row>
    <x:row r="40" ht="24" customHeight="1">
      <x:c r="A40" s="15" t="str">
        <x:v>chronological</x:v>
      </x:c>
      <x:c r="B40" s="15" t="str">
        <x:v>train</x:v>
      </x:c>
      <x:c r="C40" s="18" t="d">
        <x:v>2018-02-16T00:00:00.000Z</x:v>
      </x:c>
      <x:c r="D40" s="15" t="n">
        <x:v>122787</x:v>
      </x:c>
      <x:c r="E40" s="15" t="n">
        <x:v>42</x:v>
      </x:c>
      <x:c r="F40" s="15" t="n">
        <x:v>1784129</x:v>
      </x:c>
      <x:c r="G40" s="15" t="n">
        <x:v>205626</x:v>
      </x:c>
    </x:row>
    <x:row r="41" ht="24" customHeight="1">
      <x:c r="A41" s="15" t="str">
        <x:v>chronological</x:v>
      </x:c>
      <x:c r="B41" s="15" t="str">
        <x:v>train</x:v>
      </x:c>
      <x:c r="C41" s="18" t="d">
        <x:v>2018-02-20T00:00:00.000Z</x:v>
      </x:c>
      <x:c r="D41" s="15" t="n">
        <x:v>146505</x:v>
      </x:c>
      <x:c r="E41" s="15" t="n">
        <x:v>471</x:v>
      </x:c>
      <x:c r="F41" s="15" t="n">
        <x:v>1829859</x:v>
      </x:c>
      <x:c r="G41" s="15" t="n">
        <x:v>288589</x:v>
      </x:c>
    </x:row>
    <x:row r="42" ht="24" customHeight="1">
      <x:c r="A42" s="15" t="str">
        <x:v>chronological</x:v>
      </x:c>
      <x:c r="B42" s="15" t="str">
        <x:v>train</x:v>
      </x:c>
      <x:c r="C42" s="18" t="d">
        <x:v>2018-02-21T00:00:00.000Z</x:v>
      </x:c>
      <x:c r="D42" s="15" t="n">
        <x:v>149141</x:v>
      </x:c>
      <x:c r="E42" s="15" t="n">
        <x:v>528</x:v>
      </x:c>
      <x:c r="F42" s="15" t="n">
        <x:v>2712803</x:v>
      </x:c>
      <x:c r="G42" s="15" t="n">
        <x:v>1035761</x:v>
      </x:c>
    </x:row>
    <x:row r="43" ht="24" customHeight="1">
      <x:c r="A43" s="15" t="str">
        <x:v>chronological</x:v>
      </x:c>
      <x:c r="B43" s="15" t="str">
        <x:v>train</x:v>
      </x:c>
      <x:c r="C43" s="18" t="d">
        <x:v>2018-02-22T00:00:00.000Z</x:v>
      </x:c>
      <x:c r="D43" s="15" t="n">
        <x:v>158309</x:v>
      </x:c>
      <x:c r="E43" s="15" t="n">
        <x:v>1702</x:v>
      </x:c>
      <x:c r="F43" s="15" t="n">
        <x:v>2040128</x:v>
      </x:c>
      <x:c r="G43" s="15" t="n">
        <x:v>2538</x:v>
      </x:c>
    </x:row>
    <x:row r="44" ht="24" customHeight="1">
      <x:c r="A44" s="15" t="str">
        <x:v>chronological</x:v>
      </x:c>
      <x:c r="B44" s="15" t="str">
        <x:v>train</x:v>
      </x:c>
      <x:c r="C44" s="18" t="d">
        <x:v>2018-02-23T00:00:00.000Z</x:v>
      </x:c>
      <x:c r="D44" s="15" t="n">
        <x:v>30611</x:v>
      </x:c>
      <x:c r="E44" s="15" t="n">
        <x:v>0</x:v>
      </x:c>
      <x:c r="F44" s="15" t="n">
        <x:v>405616</x:v>
      </x:c>
      <x:c r="G44" s="15" t="n">
        <x:v>0</x:v>
      </x:c>
    </x:row>
    <x:row r="45" ht="24" customHeight="1">
      <x:c r="A45" s="15" t="str">
        <x:v>chronological</x:v>
      </x:c>
      <x:c r="B45" s="15" t="str">
        <x:v>validation</x:v>
      </x:c>
      <x:c r="C45" s="18" t="d">
        <x:v>2018-02-23T00:00:00.000Z</x:v>
      </x:c>
      <x:c r="D45" s="15" t="n">
        <x:v>118827</x:v>
      </x:c>
      <x:c r="E45" s="15" t="n">
        <x:v>0</x:v>
      </x:c>
      <x:c r="F45" s="15" t="n">
        <x:v>1510423</x:v>
      </x:c>
      <x:c r="G45" s="15" t="n">
        <x:v>0</x:v>
      </x:c>
    </x:row>
    <x:row r="46" ht="24" customHeight="1">
      <x:c r="A46" s="15" t="str">
        <x:v>chronological</x:v>
      </x:c>
      <x:c r="B46" s="15" t="str">
        <x:v>validation</x:v>
      </x:c>
      <x:c r="C46" s="18" t="d">
        <x:v>2018-02-27T00:00:00.000Z</x:v>
      </x:c>
      <x:c r="D46" s="15" t="n">
        <x:v>376</x:v>
      </x:c>
      <x:c r="E46" s="15" t="n">
        <x:v>0</x:v>
      </x:c>
      <x:c r="F46" s="15" t="n">
        <x:v>828</x:v>
      </x:c>
      <x:c r="G46" s="15" t="n">
        <x:v>0</x:v>
      </x:c>
    </x:row>
    <x:row r="47" ht="24" customHeight="1">
      <x:c r="A47" s="15" t="str">
        <x:v>chronological</x:v>
      </x:c>
      <x:c r="B47" s="15" t="str">
        <x:v>validation</x:v>
      </x:c>
      <x:c r="C47" s="18" t="d">
        <x:v>2018-02-28T00:00:00.000Z</x:v>
      </x:c>
      <x:c r="D47" s="15" t="n">
        <x:v>164599</x:v>
      </x:c>
      <x:c r="E47" s="15" t="n">
        <x:v>3261</x:v>
      </x:c>
      <x:c r="F47" s="15" t="n">
        <x:v>2032727</x:v>
      </x:c>
      <x:c r="G47" s="15" t="n">
        <x:v>84327</x:v>
      </x:c>
    </x:row>
    <x:row r="48" ht="24" customHeight="1">
      <x:c r="A48" s="15" t="str">
        <x:v>chronological</x:v>
      </x:c>
      <x:c r="B48" s="15" t="str">
        <x:v>validation</x:v>
      </x:c>
      <x:c r="C48" s="18" t="d">
        <x:v>2018-03-01T00:00:00.000Z</x:v>
      </x:c>
      <x:c r="D48" s="15" t="n">
        <x:v>8219</x:v>
      </x:c>
      <x:c r="E48" s="15" t="n">
        <x:v>135</x:v>
      </x:c>
      <x:c r="F48" s="15" t="n">
        <x:v>111616</x:v>
      </x:c>
      <x:c r="G48" s="15" t="n">
        <x:v>1806</x:v>
      </x:c>
    </x:row>
    <x:row r="49" ht="24" customHeight="1">
      <x:c r="A49" s="15" t="str">
        <x:v>chronological</x:v>
      </x:c>
      <x:c r="B49" s="15" t="str">
        <x:v>test</x:v>
      </x:c>
      <x:c r="C49" s="18" t="d">
        <x:v>2018-03-01T00:00:00.000Z</x:v>
      </x:c>
      <x:c r="D49" s="15" t="n">
        <x:v>154817</x:v>
      </x:c>
      <x:c r="E49" s="15" t="n">
        <x:v>3218</x:v>
      </x:c>
      <x:c r="F49" s="15" t="n">
        <x:v>2016522</x:v>
      </x:c>
      <x:c r="G49" s="15" t="n">
        <x:v>101809</x:v>
      </x:c>
    </x:row>
    <x:row r="50" ht="24" customHeight="1">
      <x:c r="A50" s="15" t="str">
        <x:v>chronological</x:v>
      </x:c>
      <x:c r="B50" s="15" t="str">
        <x:v>test</x:v>
      </x:c>
      <x:c r="C50" s="18" t="d">
        <x:v>2018-03-02T00:00:00.000Z</x:v>
      </x:c>
      <x:c r="D50" s="15" t="n">
        <x:v>138016</x:v>
      </x:c>
      <x:c r="E50" s="15" t="n">
        <x:v>1387</x:v>
      </x:c>
      <x:c r="F50" s="15" t="n">
        <x:v>1830361</x:v>
      </x:c>
      <x:c r="G50" s="15" t="n">
        <x:v>207703</x:v>
      </x:c>
    </x:row>
    <x:row r="51" ht="24" customHeight="1">
      <x:c r="A51" s="15" t="str">
        <x:v>chronological</x:v>
      </x:c>
      <x:c r="B51" s="15" t="str">
        <x:v>excluded</x:v>
      </x:c>
      <x:c r="C51" s="18" t="d">
        <x:v>2018-02-23T00:00:00.000Z</x:v>
      </x:c>
      <x:c r="D51" s="15" t="n">
        <x:v>1011</x:v>
      </x:c>
      <x:c r="E51" s="15" t="n">
        <x:v>0</x:v>
      </x:c>
      <x:c r="F51" s="15" t="n">
        <x:v>16963</x:v>
      </x:c>
      <x:c r="G51" s="15" t="n">
        <x:v>0</x:v>
      </x:c>
    </x:row>
    <x:row r="52" ht="24" customHeight="1">
      <x:c r="A52" s="15" t="str">
        <x:v>chronological</x:v>
      </x:c>
      <x:c r="B52" s="15" t="str">
        <x:v>excluded</x:v>
      </x:c>
      <x:c r="C52" s="18" t="d">
        <x:v>2018-03-01T00:00:00.000Z</x:v>
      </x:c>
      <x:c r="D52" s="15" t="n">
        <x:v>1197</x:v>
      </x:c>
      <x:c r="E52" s="15" t="n">
        <x:v>20</x:v>
      </x:c>
      <x:c r="F52" s="15" t="n">
        <x:v>19395</x:v>
      </x:c>
      <x:c r="G52" s="15" t="n">
        <x:v>210</x:v>
      </x:c>
    </x:row>
    <x:row r="53" ht="24" customHeight="1">
      <x:c r="A53" s="15" t="str">
        <x:v>day_chronological</x:v>
      </x:c>
      <x:c r="B53" s="15" t="str">
        <x:v>train</x:v>
      </x:c>
      <x:c r="C53" s="18" t="d">
        <x:v>2018-02-14T00:00:00.000Z</x:v>
      </x:c>
      <x:c r="D53" s="15" t="n">
        <x:v>143530</x:v>
      </x:c>
      <x:c r="E53" s="15" t="n">
        <x:v>115</x:v>
      </x:c>
      <x:c r="F53" s="15" t="n">
        <x:v>2138838</x:v>
      </x:c>
      <x:c r="G53" s="15" t="n">
        <x:v>575194</x:v>
      </x:c>
    </x:row>
    <x:row r="54" ht="24" customHeight="1">
      <x:c r="A54" s="15" t="str">
        <x:v>day_chronological</x:v>
      </x:c>
      <x:c r="B54" s="15" t="str">
        <x:v>train</x:v>
      </x:c>
      <x:c r="C54" s="18" t="d">
        <x:v>2018-02-15T00:00:00.000Z</x:v>
      </x:c>
      <x:c r="D54" s="15" t="n">
        <x:v>128720</x:v>
      </x:c>
      <x:c r="E54" s="15" t="n">
        <x:v>39</x:v>
      </x:c>
      <x:c r="F54" s="15" t="n">
        <x:v>1665321</x:v>
      </x:c>
      <x:c r="G54" s="15" t="n">
        <x:v>97340</x:v>
      </x:c>
    </x:row>
    <x:row r="55" ht="24" customHeight="1">
      <x:c r="A55" s="15" t="str">
        <x:v>day_chronological</x:v>
      </x:c>
      <x:c r="B55" s="15" t="str">
        <x:v>train</x:v>
      </x:c>
      <x:c r="C55" s="18" t="d">
        <x:v>2018-02-16T00:00:00.000Z</x:v>
      </x:c>
      <x:c r="D55" s="15" t="n">
        <x:v>122787</x:v>
      </x:c>
      <x:c r="E55" s="15" t="n">
        <x:v>42</x:v>
      </x:c>
      <x:c r="F55" s="15" t="n">
        <x:v>1784129</x:v>
      </x:c>
      <x:c r="G55" s="15" t="n">
        <x:v>205626</x:v>
      </x:c>
    </x:row>
    <x:row r="56" ht="24" customHeight="1">
      <x:c r="A56" s="15" t="str">
        <x:v>day_chronological</x:v>
      </x:c>
      <x:c r="B56" s="15" t="str">
        <x:v>train</x:v>
      </x:c>
      <x:c r="C56" s="18" t="d">
        <x:v>2018-02-20T00:00:00.000Z</x:v>
      </x:c>
      <x:c r="D56" s="15" t="n">
        <x:v>146505</x:v>
      </x:c>
      <x:c r="E56" s="15" t="n">
        <x:v>471</x:v>
      </x:c>
      <x:c r="F56" s="15" t="n">
        <x:v>1829859</x:v>
      </x:c>
      <x:c r="G56" s="15" t="n">
        <x:v>288589</x:v>
      </x:c>
    </x:row>
    <x:row r="57" ht="24" customHeight="1">
      <x:c r="A57" s="15" t="str">
        <x:v>day_chronological</x:v>
      </x:c>
      <x:c r="B57" s="15" t="str">
        <x:v>train</x:v>
      </x:c>
      <x:c r="C57" s="18" t="d">
        <x:v>2018-02-21T00:00:00.000Z</x:v>
      </x:c>
      <x:c r="D57" s="15" t="n">
        <x:v>149141</x:v>
      </x:c>
      <x:c r="E57" s="15" t="n">
        <x:v>528</x:v>
      </x:c>
      <x:c r="F57" s="15" t="n">
        <x:v>2712803</x:v>
      </x:c>
      <x:c r="G57" s="15" t="n">
        <x:v>1035761</x:v>
      </x:c>
    </x:row>
    <x:row r="58" ht="24" customHeight="1">
      <x:c r="A58" s="15" t="str">
        <x:v>day_chronological</x:v>
      </x:c>
      <x:c r="B58" s="15" t="str">
        <x:v>train</x:v>
      </x:c>
      <x:c r="C58" s="18" t="d">
        <x:v>2018-02-22T00:00:00.000Z</x:v>
      </x:c>
      <x:c r="D58" s="15" t="n">
        <x:v>158309</x:v>
      </x:c>
      <x:c r="E58" s="15" t="n">
        <x:v>1702</x:v>
      </x:c>
      <x:c r="F58" s="15" t="n">
        <x:v>2040128</x:v>
      </x:c>
      <x:c r="G58" s="15" t="n">
        <x:v>2538</x:v>
      </x:c>
    </x:row>
    <x:row r="59" ht="24" customHeight="1">
      <x:c r="A59" s="15" t="str">
        <x:v>day_chronological</x:v>
      </x:c>
      <x:c r="B59" s="15" t="str">
        <x:v>validation</x:v>
      </x:c>
      <x:c r="C59" s="18" t="d">
        <x:v>2018-02-23T00:00:00.000Z</x:v>
      </x:c>
      <x:c r="D59" s="15" t="n">
        <x:v>150110</x:v>
      </x:c>
      <x:c r="E59" s="15" t="n">
        <x:v>0</x:v>
      </x:c>
      <x:c r="F59" s="15" t="n">
        <x:v>1920098</x:v>
      </x:c>
      <x:c r="G59" s="15" t="n">
        <x:v>0</x:v>
      </x:c>
    </x:row>
    <x:row r="60" ht="24" customHeight="1">
      <x:c r="A60" s="15" t="str">
        <x:v>day_chronological</x:v>
      </x:c>
      <x:c r="B60" s="15" t="str">
        <x:v>validation</x:v>
      </x:c>
      <x:c r="C60" s="18" t="d">
        <x:v>2018-02-27T00:00:00.000Z</x:v>
      </x:c>
      <x:c r="D60" s="15" t="n">
        <x:v>376</x:v>
      </x:c>
      <x:c r="E60" s="15" t="n">
        <x:v>0</x:v>
      </x:c>
      <x:c r="F60" s="15" t="n">
        <x:v>828</x:v>
      </x:c>
      <x:c r="G60" s="15" t="n">
        <x:v>0</x:v>
      </x:c>
    </x:row>
    <x:row r="61" ht="24" customHeight="1">
      <x:c r="A61" s="15" t="str">
        <x:v>day_chronological</x:v>
      </x:c>
      <x:c r="B61" s="15" t="str">
        <x:v>validation</x:v>
      </x:c>
      <x:c r="C61" s="18" t="d">
        <x:v>2018-02-28T00:00:00.000Z</x:v>
      </x:c>
      <x:c r="D61" s="15" t="n">
        <x:v>164578</x:v>
      </x:c>
      <x:c r="E61" s="15" t="n">
        <x:v>3261</x:v>
      </x:c>
      <x:c r="F61" s="15" t="n">
        <x:v>2032610</x:v>
      </x:c>
      <x:c r="G61" s="15" t="n">
        <x:v>84327</x:v>
      </x:c>
    </x:row>
    <x:row r="62" ht="24" customHeight="1">
      <x:c r="A62" s="15" t="str">
        <x:v>day_chronological</x:v>
      </x:c>
      <x:c r="B62" s="15" t="str">
        <x:v>test</x:v>
      </x:c>
      <x:c r="C62" s="18" t="d">
        <x:v>2018-03-01T00:00:00.000Z</x:v>
      </x:c>
      <x:c r="D62" s="15" t="n">
        <x:v>164217</x:v>
      </x:c>
      <x:c r="E62" s="15" t="n">
        <x:v>3373</x:v>
      </x:c>
      <x:c r="F62" s="15" t="n">
        <x:v>2147482</x:v>
      </x:c>
      <x:c r="G62" s="15" t="n">
        <x:v>103825</x:v>
      </x:c>
    </x:row>
    <x:row r="63" ht="24" customHeight="1">
      <x:c r="A63" s="15" t="str">
        <x:v>day_chronological</x:v>
      </x:c>
      <x:c r="B63" s="15" t="str">
        <x:v>test</x:v>
      </x:c>
      <x:c r="C63" s="18" t="d">
        <x:v>2018-03-02T00:00:00.000Z</x:v>
      </x:c>
      <x:c r="D63" s="15" t="n">
        <x:v>138016</x:v>
      </x:c>
      <x:c r="E63" s="15" t="n">
        <x:v>1387</x:v>
      </x:c>
      <x:c r="F63" s="15" t="n">
        <x:v>1830361</x:v>
      </x:c>
      <x:c r="G63" s="15" t="n">
        <x:v>207703</x:v>
      </x:c>
    </x:row>
    <x:row r="64" ht="24" customHeight="1">
      <x:c r="A64" s="15" t="str">
        <x:v>day_chronological</x:v>
      </x:c>
      <x:c r="B64" s="15" t="str">
        <x:v>excluded</x:v>
      </x:c>
      <x:c r="C64" s="18" t="d">
        <x:v>2018-02-23T00:00:00.000Z</x:v>
      </x:c>
      <x:c r="D64" s="15" t="n">
        <x:v>339</x:v>
      </x:c>
      <x:c r="E64" s="15" t="n">
        <x:v>0</x:v>
      </x:c>
      <x:c r="F64" s="15" t="n">
        <x:v>12904</x:v>
      </x:c>
      <x:c r="G64" s="15" t="n">
        <x:v>0</x:v>
      </x:c>
    </x:row>
    <x:row r="65" ht="24" customHeight="1">
      <x:c r="A65" s="15" t="str">
        <x:v>day_chronological</x:v>
      </x:c>
      <x:c r="B65" s="15" t="str">
        <x:v>excluded</x:v>
      </x:c>
      <x:c r="C65" s="18" t="d">
        <x:v>2018-02-28T00:00:00.000Z</x:v>
      </x:c>
      <x:c r="D65" s="15" t="n">
        <x:v>21</x:v>
      </x:c>
      <x:c r="E65" s="15" t="n">
        <x:v>0</x:v>
      </x:c>
      <x:c r="F65" s="15" t="n">
        <x:v>117</x:v>
      </x:c>
      <x:c r="G65" s="15" t="n">
        <x:v>0</x:v>
      </x:c>
    </x:row>
    <x:row r="66" ht="24" customHeight="1">
      <x:c r="A66" s="15" t="str">
        <x:v>day_chronological</x:v>
      </x:c>
      <x:c r="B66" s="15" t="str">
        <x:v>excluded</x:v>
      </x:c>
      <x:c r="C66" s="18" t="d">
        <x:v>2018-03-01T00:00:00.000Z</x:v>
      </x:c>
      <x:c r="D66" s="15" t="n">
        <x:v>16</x:v>
      </x:c>
      <x:c r="E66" s="15" t="n">
        <x:v>0</x:v>
      </x:c>
      <x:c r="F66" s="15" t="n">
        <x:v>51</x:v>
      </x:c>
      <x:c r="G66" s="15" t="n">
        <x:v>0</x:v>
      </x:c>
    </x:row>
    <x:row r="67" ht="24" customHeight="1">
      <x:c r="A67" s="15" t="str">
        <x:v>day_shuffled</x:v>
      </x:c>
      <x:c r="B67" s="15" t="str">
        <x:v>train</x:v>
      </x:c>
      <x:c r="C67" s="18" t="d">
        <x:v>2018-02-15T00:00:00.000Z</x:v>
      </x:c>
      <x:c r="D67" s="15" t="n">
        <x:v>128709</x:v>
      </x:c>
      <x:c r="E67" s="15" t="n">
        <x:v>39</x:v>
      </x:c>
      <x:c r="F67" s="15" t="n">
        <x:v>1665293</x:v>
      </x:c>
      <x:c r="G67" s="15" t="n">
        <x:v>97340</x:v>
      </x:c>
    </x:row>
    <x:row r="68" ht="24" customHeight="1">
      <x:c r="A68" s="15" t="str">
        <x:v>day_shuffled</x:v>
      </x:c>
      <x:c r="B68" s="15" t="str">
        <x:v>train</x:v>
      </x:c>
      <x:c r="C68" s="18" t="d">
        <x:v>2018-02-20T00:00:00.000Z</x:v>
      </x:c>
      <x:c r="D68" s="15" t="n">
        <x:v>146495</x:v>
      </x:c>
      <x:c r="E68" s="15" t="n">
        <x:v>471</x:v>
      </x:c>
      <x:c r="F68" s="15" t="n">
        <x:v>1829627</x:v>
      </x:c>
      <x:c r="G68" s="15" t="n">
        <x:v>288589</x:v>
      </x:c>
    </x:row>
    <x:row r="69" ht="24" customHeight="1">
      <x:c r="A69" s="15" t="str">
        <x:v>day_shuffled</x:v>
      </x:c>
      <x:c r="B69" s="15" t="str">
        <x:v>train</x:v>
      </x:c>
      <x:c r="C69" s="18" t="d">
        <x:v>2018-02-21T00:00:00.000Z</x:v>
      </x:c>
      <x:c r="D69" s="15" t="n">
        <x:v>149141</x:v>
      </x:c>
      <x:c r="E69" s="15" t="n">
        <x:v>528</x:v>
      </x:c>
      <x:c r="F69" s="15" t="n">
        <x:v>2712803</x:v>
      </x:c>
      <x:c r="G69" s="15" t="n">
        <x:v>1035761</x:v>
      </x:c>
    </x:row>
    <x:row r="70" ht="24" customHeight="1">
      <x:c r="A70" s="15" t="str">
        <x:v>day_shuffled</x:v>
      </x:c>
      <x:c r="B70" s="15" t="str">
        <x:v>train</x:v>
      </x:c>
      <x:c r="C70" s="18" t="d">
        <x:v>2018-02-22T00:00:00.000Z</x:v>
      </x:c>
      <x:c r="D70" s="15" t="n">
        <x:v>158309</x:v>
      </x:c>
      <x:c r="E70" s="15" t="n">
        <x:v>1702</x:v>
      </x:c>
      <x:c r="F70" s="15" t="n">
        <x:v>2040128</x:v>
      </x:c>
      <x:c r="G70" s="15" t="n">
        <x:v>2538</x:v>
      </x:c>
    </x:row>
    <x:row r="71" ht="24" customHeight="1">
      <x:c r="A71" s="15" t="str">
        <x:v>day_shuffled</x:v>
      </x:c>
      <x:c r="B71" s="15" t="str">
        <x:v>train</x:v>
      </x:c>
      <x:c r="C71" s="18" t="d">
        <x:v>2018-02-23T00:00:00.000Z</x:v>
      </x:c>
      <x:c r="D71" s="15" t="n">
        <x:v>150449</x:v>
      </x:c>
      <x:c r="E71" s="15" t="n">
        <x:v>0</x:v>
      </x:c>
      <x:c r="F71" s="15" t="n">
        <x:v>1933002</x:v>
      </x:c>
      <x:c r="G71" s="15" t="n">
        <x:v>0</x:v>
      </x:c>
    </x:row>
    <x:row r="72" ht="24" customHeight="1">
      <x:c r="A72" s="15" t="str">
        <x:v>day_shuffled</x:v>
      </x:c>
      <x:c r="B72" s="15" t="str">
        <x:v>train</x:v>
      </x:c>
      <x:c r="C72" s="18" t="d">
        <x:v>2018-02-28T00:00:00.000Z</x:v>
      </x:c>
      <x:c r="D72" s="15" t="n">
        <x:v>164571</x:v>
      </x:c>
      <x:c r="E72" s="15" t="n">
        <x:v>3261</x:v>
      </x:c>
      <x:c r="F72" s="15" t="n">
        <x:v>2032603</x:v>
      </x:c>
      <x:c r="G72" s="15" t="n">
        <x:v>84327</x:v>
      </x:c>
    </x:row>
    <x:row r="73" ht="24" customHeight="1">
      <x:c r="A73" s="15" t="str">
        <x:v>day_shuffled</x:v>
      </x:c>
      <x:c r="B73" s="15" t="str">
        <x:v>validation</x:v>
      </x:c>
      <x:c r="C73" s="18" t="d">
        <x:v>2018-03-01T00:00:00.000Z</x:v>
      </x:c>
      <x:c r="D73" s="15" t="n">
        <x:v>164217</x:v>
      </x:c>
      <x:c r="E73" s="15" t="n">
        <x:v>3373</x:v>
      </x:c>
      <x:c r="F73" s="15" t="n">
        <x:v>2147482</x:v>
      </x:c>
      <x:c r="G73" s="15" t="n">
        <x:v>103825</x:v>
      </x:c>
    </x:row>
    <x:row r="74" ht="24" customHeight="1">
      <x:c r="A74" s="15" t="str">
        <x:v>day_shuffled</x:v>
      </x:c>
      <x:c r="B74" s="15" t="str">
        <x:v>validation</x:v>
      </x:c>
      <x:c r="C74" s="18" t="d">
        <x:v>2018-03-02T00:00:00.000Z</x:v>
      </x:c>
      <x:c r="D74" s="15" t="n">
        <x:v>138016</x:v>
      </x:c>
      <x:c r="E74" s="15" t="n">
        <x:v>1387</x:v>
      </x:c>
      <x:c r="F74" s="15" t="n">
        <x:v>1830361</x:v>
      </x:c>
      <x:c r="G74" s="15" t="n">
        <x:v>207703</x:v>
      </x:c>
    </x:row>
    <x:row r="75" ht="24" customHeight="1">
      <x:c r="A75" s="15" t="str">
        <x:v>day_shuffled</x:v>
      </x:c>
      <x:c r="B75" s="15" t="str">
        <x:v>test</x:v>
      </x:c>
      <x:c r="C75" s="18" t="d">
        <x:v>2018-02-14T00:00:00.000Z</x:v>
      </x:c>
      <x:c r="D75" s="15" t="n">
        <x:v>143517</x:v>
      </x:c>
      <x:c r="E75" s="15" t="n">
        <x:v>115</x:v>
      </x:c>
      <x:c r="F75" s="15" t="n">
        <x:v>2138812</x:v>
      </x:c>
      <x:c r="G75" s="15" t="n">
        <x:v>575194</x:v>
      </x:c>
    </x:row>
    <x:row r="76" ht="24" customHeight="1">
      <x:c r="A76" s="15" t="str">
        <x:v>day_shuffled</x:v>
      </x:c>
      <x:c r="B76" s="15" t="str">
        <x:v>test</x:v>
      </x:c>
      <x:c r="C76" s="18" t="d">
        <x:v>2018-02-16T00:00:00.000Z</x:v>
      </x:c>
      <x:c r="D76" s="15" t="n">
        <x:v>122684</x:v>
      </x:c>
      <x:c r="E76" s="15" t="n">
        <x:v>42</x:v>
      </x:c>
      <x:c r="F76" s="15" t="n">
        <x:v>1780553</x:v>
      </x:c>
      <x:c r="G76" s="15" t="n">
        <x:v>205626</x:v>
      </x:c>
    </x:row>
    <x:row r="77" ht="24" customHeight="1">
      <x:c r="A77" s="15" t="str">
        <x:v>day_shuffled</x:v>
      </x:c>
      <x:c r="B77" s="15" t="str">
        <x:v>test</x:v>
      </x:c>
      <x:c r="C77" s="18" t="d">
        <x:v>2018-02-27T00:00:00.000Z</x:v>
      </x:c>
      <x:c r="D77" s="15" t="n">
        <x:v>372</x:v>
      </x:c>
      <x:c r="E77" s="15" t="n">
        <x:v>0</x:v>
      </x:c>
      <x:c r="F77" s="15" t="n">
        <x:v>824</x:v>
      </x:c>
      <x:c r="G77" s="15" t="n">
        <x:v>0</x:v>
      </x:c>
    </x:row>
    <x:row r="78" ht="24" customHeight="1">
      <x:c r="A78" s="15" t="str">
        <x:v>day_shuffled</x:v>
      </x:c>
      <x:c r="B78" s="15" t="str">
        <x:v>excluded</x:v>
      </x:c>
      <x:c r="C78" s="18" t="d">
        <x:v>2018-02-14T00:00:00.000Z</x:v>
      </x:c>
      <x:c r="D78" s="15" t="n">
        <x:v>13</x:v>
      </x:c>
      <x:c r="E78" s="15" t="n">
        <x:v>0</x:v>
      </x:c>
      <x:c r="F78" s="15" t="n">
        <x:v>26</x:v>
      </x:c>
      <x:c r="G78" s="15" t="n">
        <x:v>0</x:v>
      </x:c>
    </x:row>
    <x:row r="79" ht="24" customHeight="1">
      <x:c r="A79" s="15" t="str">
        <x:v>day_shuffled</x:v>
      </x:c>
      <x:c r="B79" s="15" t="str">
        <x:v>excluded</x:v>
      </x:c>
      <x:c r="C79" s="18" t="d">
        <x:v>2018-02-15T00:00:00.000Z</x:v>
      </x:c>
      <x:c r="D79" s="15" t="n">
        <x:v>11</x:v>
      </x:c>
      <x:c r="E79" s="15" t="n">
        <x:v>0</x:v>
      </x:c>
      <x:c r="F79" s="15" t="n">
        <x:v>28</x:v>
      </x:c>
      <x:c r="G79" s="15" t="n">
        <x:v>0</x:v>
      </x:c>
    </x:row>
    <x:row r="80" ht="24" customHeight="1">
      <x:c r="A80" s="15" t="str">
        <x:v>day_shuffled</x:v>
      </x:c>
      <x:c r="B80" s="15" t="str">
        <x:v>excluded</x:v>
      </x:c>
      <x:c r="C80" s="18" t="d">
        <x:v>2018-02-16T00:00:00.000Z</x:v>
      </x:c>
      <x:c r="D80" s="15" t="n">
        <x:v>103</x:v>
      </x:c>
      <x:c r="E80" s="15" t="n">
        <x:v>0</x:v>
      </x:c>
      <x:c r="F80" s="15" t="n">
        <x:v>3576</x:v>
      </x:c>
      <x:c r="G80" s="15" t="n">
        <x:v>0</x:v>
      </x:c>
    </x:row>
    <x:row r="81" ht="24" customHeight="1">
      <x:c r="A81" s="15" t="str">
        <x:v>day_shuffled</x:v>
      </x:c>
      <x:c r="B81" s="15" t="str">
        <x:v>excluded</x:v>
      </x:c>
      <x:c r="C81" s="18" t="d">
        <x:v>2018-02-20T00:00:00.000Z</x:v>
      </x:c>
      <x:c r="D81" s="15" t="n">
        <x:v>10</x:v>
      </x:c>
      <x:c r="E81" s="15" t="n">
        <x:v>0</x:v>
      </x:c>
      <x:c r="F81" s="15" t="n">
        <x:v>232</x:v>
      </x:c>
      <x:c r="G81" s="15" t="n">
        <x:v>0</x:v>
      </x:c>
    </x:row>
    <x:row r="82" ht="24" customHeight="1">
      <x:c r="A82" s="15" t="str">
        <x:v>day_shuffled</x:v>
      </x:c>
      <x:c r="B82" s="15" t="str">
        <x:v>excluded</x:v>
      </x:c>
      <x:c r="C82" s="18" t="d">
        <x:v>2018-02-27T00:00:00.000Z</x:v>
      </x:c>
      <x:c r="D82" s="15" t="n">
        <x:v>4</x:v>
      </x:c>
      <x:c r="E82" s="15" t="n">
        <x:v>0</x:v>
      </x:c>
      <x:c r="F82" s="15" t="n">
        <x:v>4</x:v>
      </x:c>
      <x:c r="G82" s="15" t="n">
        <x:v>0</x:v>
      </x:c>
    </x:row>
    <x:row r="83" ht="24" customHeight="1">
      <x:c r="A83" s="15" t="str">
        <x:v>day_shuffled</x:v>
      </x:c>
      <x:c r="B83" s="15" t="str">
        <x:v>excluded</x:v>
      </x:c>
      <x:c r="C83" s="18" t="d">
        <x:v>2018-02-28T00:00:00.000Z</x:v>
      </x:c>
      <x:c r="D83" s="15" t="n">
        <x:v>28</x:v>
      </x:c>
      <x:c r="E83" s="15" t="n">
        <x:v>0</x:v>
      </x:c>
      <x:c r="F83" s="15" t="n">
        <x:v>124</x:v>
      </x:c>
      <x:c r="G83" s="15" t="n">
        <x:v>0</x:v>
      </x:c>
    </x:row>
    <x:row r="84" ht="24" customHeight="1">
      <x:c r="A84" s="15" t="str">
        <x:v>day_shuffled</x:v>
      </x:c>
      <x:c r="B84" s="15" t="str">
        <x:v>excluded</x:v>
      </x:c>
      <x:c r="C84" s="18" t="d">
        <x:v>2018-03-01T00:00:00.000Z</x:v>
      </x:c>
      <x:c r="D84" s="15" t="n">
        <x:v>16</x:v>
      </x:c>
      <x:c r="E84" s="15" t="n">
        <x:v>0</x:v>
      </x:c>
      <x:c r="F84" s="15" t="n">
        <x:v>51</x:v>
      </x:c>
      <x:c r="G84" s="15" t="n">
        <x:v>0</x:v>
      </x:c>
    </x:row>
    <x:row r="85" ht="24" customHeight="1">
      <x:c r="A85" s="15" t="str">
        <x:v>blocks_15m</x:v>
      </x:c>
      <x:c r="B85" s="15" t="str">
        <x:v>train</x:v>
      </x:c>
      <x:c r="C85" s="18" t="d">
        <x:v>2018-02-14T00:00:00.000Z</x:v>
      </x:c>
      <x:c r="D85" s="15" t="n">
        <x:v>58194</x:v>
      </x:c>
      <x:c r="E85" s="15" t="n">
        <x:v>52</x:v>
      </x:c>
      <x:c r="F85" s="15" t="n">
        <x:v>868281</x:v>
      </x:c>
      <x:c r="G85" s="15" t="n">
        <x:v>263754</x:v>
      </x:c>
    </x:row>
    <x:row r="86" ht="24" customHeight="1">
      <x:c r="A86" s="15" t="str">
        <x:v>blocks_15m</x:v>
      </x:c>
      <x:c r="B86" s="15" t="str">
        <x:v>train</x:v>
      </x:c>
      <x:c r="C86" s="18" t="d">
        <x:v>2018-02-15T00:00:00.000Z</x:v>
      </x:c>
      <x:c r="D86" s="15" t="n">
        <x:v>60989</x:v>
      </x:c>
      <x:c r="E86" s="15" t="n">
        <x:v>23</x:v>
      </x:c>
      <x:c r="F86" s="15" t="n">
        <x:v>754579</x:v>
      </x:c>
      <x:c r="G86" s="15" t="n">
        <x:v>64400</x:v>
      </x:c>
    </x:row>
    <x:row r="87" ht="24" customHeight="1">
      <x:c r="A87" s="15" t="str">
        <x:v>blocks_15m</x:v>
      </x:c>
      <x:c r="B87" s="15" t="str">
        <x:v>train</x:v>
      </x:c>
      <x:c r="C87" s="18" t="d">
        <x:v>2018-02-16T00:00:00.000Z</x:v>
      </x:c>
      <x:c r="D87" s="15" t="n">
        <x:v>70673</x:v>
      </x:c>
      <x:c r="E87" s="15" t="n">
        <x:v>22</x:v>
      </x:c>
      <x:c r="F87" s="15" t="n">
        <x:v>929238</x:v>
      </x:c>
      <x:c r="G87" s="15" t="n">
        <x:v>69040</x:v>
      </x:c>
    </x:row>
    <x:row r="88" ht="24" customHeight="1">
      <x:c r="A88" s="15" t="str">
        <x:v>blocks_15m</x:v>
      </x:c>
      <x:c r="B88" s="15" t="str">
        <x:v>train</x:v>
      </x:c>
      <x:c r="C88" s="18" t="d">
        <x:v>2018-02-20T00:00:00.000Z</x:v>
      </x:c>
      <x:c r="D88" s="15" t="n">
        <x:v>76656</x:v>
      </x:c>
      <x:c r="E88" s="15" t="n">
        <x:v>245</x:v>
      </x:c>
      <x:c r="F88" s="15" t="n">
        <x:v>882208</x:v>
      </x:c>
      <x:c r="G88" s="15" t="n">
        <x:v>123365</x:v>
      </x:c>
    </x:row>
    <x:row r="89" ht="24" customHeight="1">
      <x:c r="A89" s="15" t="str">
        <x:v>blocks_15m</x:v>
      </x:c>
      <x:c r="B89" s="15" t="str">
        <x:v>train</x:v>
      </x:c>
      <x:c r="C89" s="18" t="d">
        <x:v>2018-02-21T00:00:00.000Z</x:v>
      </x:c>
      <x:c r="D89" s="15" t="n">
        <x:v>82921</x:v>
      </x:c>
      <x:c r="E89" s="15" t="n">
        <x:v>528</x:v>
      </x:c>
      <x:c r="F89" s="15" t="n">
        <x:v>1921165</x:v>
      </x:c>
      <x:c r="G89" s="15" t="n">
        <x:v>1035761</x:v>
      </x:c>
    </x:row>
    <x:row r="90" ht="24" customHeight="1">
      <x:c r="A90" s="15" t="str">
        <x:v>blocks_15m</x:v>
      </x:c>
      <x:c r="B90" s="15" t="str">
        <x:v>train</x:v>
      </x:c>
      <x:c r="C90" s="18" t="d">
        <x:v>2018-02-22T00:00:00.000Z</x:v>
      </x:c>
      <x:c r="D90" s="15" t="n">
        <x:v>91695</x:v>
      </x:c>
      <x:c r="E90" s="15" t="n">
        <x:v>1002</x:v>
      </x:c>
      <x:c r="F90" s="15" t="n">
        <x:v>1132405</x:v>
      </x:c>
      <x:c r="G90" s="15" t="n">
        <x:v>1497</x:v>
      </x:c>
    </x:row>
    <x:row r="91" ht="24" customHeight="1">
      <x:c r="A91" s="15" t="str">
        <x:v>blocks_15m</x:v>
      </x:c>
      <x:c r="B91" s="15" t="str">
        <x:v>train</x:v>
      </x:c>
      <x:c r="C91" s="18" t="d">
        <x:v>2018-02-23T00:00:00.000Z</x:v>
      </x:c>
      <x:c r="D91" s="15" t="n">
        <x:v>71248</x:v>
      </x:c>
      <x:c r="E91" s="15" t="n">
        <x:v>0</x:v>
      </x:c>
      <x:c r="F91" s="15" t="n">
        <x:v>881720</x:v>
      </x:c>
      <x:c r="G91" s="15" t="n">
        <x:v>0</x:v>
      </x:c>
    </x:row>
    <x:row r="92" ht="24" customHeight="1">
      <x:c r="A92" s="15" t="str">
        <x:v>blocks_15m</x:v>
      </x:c>
      <x:c r="B92" s="15" t="str">
        <x:v>train</x:v>
      </x:c>
      <x:c r="C92" s="18" t="d">
        <x:v>2018-02-27T00:00:00.000Z</x:v>
      </x:c>
      <x:c r="D92" s="15" t="n">
        <x:v>108</x:v>
      </x:c>
      <x:c r="E92" s="15" t="n">
        <x:v>0</x:v>
      </x:c>
      <x:c r="F92" s="15" t="n">
        <x:v>195</x:v>
      </x:c>
      <x:c r="G92" s="15" t="n">
        <x:v>0</x:v>
      </x:c>
    </x:row>
    <x:row r="93" ht="24" customHeight="1">
      <x:c r="A93" s="15" t="str">
        <x:v>blocks_15m</x:v>
      </x:c>
      <x:c r="B93" s="15" t="str">
        <x:v>train</x:v>
      </x:c>
      <x:c r="C93" s="18" t="d">
        <x:v>2018-02-28T00:00:00.000Z</x:v>
      </x:c>
      <x:c r="D93" s="15" t="n">
        <x:v>87102</x:v>
      </x:c>
      <x:c r="E93" s="15" t="n">
        <x:v>1884</x:v>
      </x:c>
      <x:c r="F93" s="15" t="n">
        <x:v>1059665</x:v>
      </x:c>
      <x:c r="G93" s="15" t="n">
        <x:v>53490</x:v>
      </x:c>
    </x:row>
    <x:row r="94" ht="24" customHeight="1">
      <x:c r="A94" s="15" t="str">
        <x:v>blocks_15m</x:v>
      </x:c>
      <x:c r="B94" s="15" t="str">
        <x:v>train</x:v>
      </x:c>
      <x:c r="C94" s="18" t="d">
        <x:v>2018-03-01T00:00:00.000Z</x:v>
      </x:c>
      <x:c r="D94" s="15" t="n">
        <x:v>103488</x:v>
      </x:c>
      <x:c r="E94" s="15" t="n">
        <x:v>2194</x:v>
      </x:c>
      <x:c r="F94" s="15" t="n">
        <x:v>1313207</x:v>
      </x:c>
      <x:c r="G94" s="15" t="n">
        <x:v>73499</x:v>
      </x:c>
    </x:row>
    <x:row r="95" ht="24" customHeight="1">
      <x:c r="A95" s="15" t="str">
        <x:v>blocks_15m</x:v>
      </x:c>
      <x:c r="B95" s="15" t="str">
        <x:v>train</x:v>
      </x:c>
      <x:c r="C95" s="18" t="d">
        <x:v>2018-03-02T00:00:00.000Z</x:v>
      </x:c>
      <x:c r="D95" s="15" t="n">
        <x:v>83881</x:v>
      </x:c>
      <x:c r="E95" s="15" t="n">
        <x:v>820</x:v>
      </x:c>
      <x:c r="F95" s="15" t="n">
        <x:v>1054517</x:v>
      </x:c>
      <x:c r="G95" s="15" t="n">
        <x:v>89944</x:v>
      </x:c>
    </x:row>
    <x:row r="96" ht="24" customHeight="1">
      <x:c r="A96" s="15" t="str">
        <x:v>blocks_15m</x:v>
      </x:c>
      <x:c r="B96" s="15" t="str">
        <x:v>validation</x:v>
      </x:c>
      <x:c r="C96" s="18" t="d">
        <x:v>2018-02-14T00:00:00.000Z</x:v>
      </x:c>
      <x:c r="D96" s="15" t="n">
        <x:v>30711</x:v>
      </x:c>
      <x:c r="E96" s="15" t="n">
        <x:v>20</x:v>
      </x:c>
      <x:c r="F96" s="15" t="n">
        <x:v>418009</x:v>
      </x:c>
      <x:c r="G96" s="15" t="n">
        <x:v>113658</x:v>
      </x:c>
    </x:row>
    <x:row r="97" ht="24" customHeight="1">
      <x:c r="A97" s="15" t="str">
        <x:v>blocks_15m</x:v>
      </x:c>
      <x:c r="B97" s="15" t="str">
        <x:v>validation</x:v>
      </x:c>
      <x:c r="C97" s="18" t="d">
        <x:v>2018-02-15T00:00:00.000Z</x:v>
      </x:c>
      <x:c r="D97" s="15" t="n">
        <x:v>25506</x:v>
      </x:c>
      <x:c r="E97" s="15" t="n">
        <x:v>6</x:v>
      </x:c>
      <x:c r="F97" s="15" t="n">
        <x:v>300523</x:v>
      </x:c>
      <x:c r="G97" s="15" t="n">
        <x:v>8704</x:v>
      </x:c>
    </x:row>
    <x:row r="98" ht="24" customHeight="1">
      <x:c r="A98" s="15" t="str">
        <x:v>blocks_15m</x:v>
      </x:c>
      <x:c r="B98" s="15" t="str">
        <x:v>validation</x:v>
      </x:c>
      <x:c r="C98" s="18" t="d">
        <x:v>2018-02-16T00:00:00.000Z</x:v>
      </x:c>
      <x:c r="D98" s="15" t="n">
        <x:v>21909</x:v>
      </x:c>
      <x:c r="E98" s="15" t="n">
        <x:v>16</x:v>
      </x:c>
      <x:c r="F98" s="15" t="n">
        <x:v>387633</x:v>
      </x:c>
      <x:c r="G98" s="15" t="n">
        <x:v>123316</x:v>
      </x:c>
    </x:row>
    <x:row r="99" ht="24" customHeight="1">
      <x:c r="A99" s="15" t="str">
        <x:v>blocks_15m</x:v>
      </x:c>
      <x:c r="B99" s="15" t="str">
        <x:v>validation</x:v>
      </x:c>
      <x:c r="C99" s="18" t="d">
        <x:v>2018-02-20T00:00:00.000Z</x:v>
      </x:c>
      <x:c r="D99" s="15" t="n">
        <x:v>25306</x:v>
      </x:c>
      <x:c r="E99" s="15" t="n">
        <x:v>60</x:v>
      </x:c>
      <x:c r="F99" s="15" t="n">
        <x:v>280939</x:v>
      </x:c>
      <x:c r="G99" s="15" t="n">
        <x:v>46785</x:v>
      </x:c>
    </x:row>
    <x:row r="100" ht="24" customHeight="1">
      <x:c r="A100" s="15" t="str">
        <x:v>blocks_15m</x:v>
      </x:c>
      <x:c r="B100" s="15" t="str">
        <x:v>validation</x:v>
      </x:c>
      <x:c r="C100" s="18" t="d">
        <x:v>2018-02-21T00:00:00.000Z</x:v>
      </x:c>
      <x:c r="D100" s="15" t="n">
        <x:v>11870</x:v>
      </x:c>
      <x:c r="E100" s="15" t="n">
        <x:v>0</x:v>
      </x:c>
      <x:c r="F100" s="15" t="n">
        <x:v>118530</x:v>
      </x:c>
      <x:c r="G100" s="15" t="n">
        <x:v>0</x:v>
      </x:c>
    </x:row>
    <x:row r="101" ht="24" customHeight="1">
      <x:c r="A101" s="15" t="str">
        <x:v>blocks_15m</x:v>
      </x:c>
      <x:c r="B101" s="15" t="str">
        <x:v>validation</x:v>
      </x:c>
      <x:c r="C101" s="18" t="d">
        <x:v>2018-02-22T00:00:00.000Z</x:v>
      </x:c>
      <x:c r="D101" s="15" t="n">
        <x:v>23245</x:v>
      </x:c>
      <x:c r="E101" s="15" t="n">
        <x:v>260</x:v>
      </x:c>
      <x:c r="F101" s="15" t="n">
        <x:v>266964</x:v>
      </x:c>
      <x:c r="G101" s="15" t="n">
        <x:v>426</x:v>
      </x:c>
    </x:row>
    <x:row r="102" ht="24" customHeight="1">
      <x:c r="A102" s="15" t="str">
        <x:v>blocks_15m</x:v>
      </x:c>
      <x:c r="B102" s="15" t="str">
        <x:v>validation</x:v>
      </x:c>
      <x:c r="C102" s="18" t="d">
        <x:v>2018-02-23T00:00:00.000Z</x:v>
      </x:c>
      <x:c r="D102" s="15" t="n">
        <x:v>24815</x:v>
      </x:c>
      <x:c r="E102" s="15" t="n">
        <x:v>0</x:v>
      </x:c>
      <x:c r="F102" s="15" t="n">
        <x:v>286696</x:v>
      </x:c>
      <x:c r="G102" s="15" t="n">
        <x:v>0</x:v>
      </x:c>
    </x:row>
    <x:row r="103" ht="24" customHeight="1">
      <x:c r="A103" s="15" t="str">
        <x:v>blocks_15m</x:v>
      </x:c>
      <x:c r="B103" s="15" t="str">
        <x:v>validation</x:v>
      </x:c>
      <x:c r="C103" s="18" t="d">
        <x:v>2018-02-27T00:00:00.000Z</x:v>
      </x:c>
      <x:c r="D103" s="15" t="n">
        <x:v>123</x:v>
      </x:c>
      <x:c r="E103" s="15" t="n">
        <x:v>0</x:v>
      </x:c>
      <x:c r="F103" s="15" t="n">
        <x:v>319</x:v>
      </x:c>
      <x:c r="G103" s="15" t="n">
        <x:v>0</x:v>
      </x:c>
    </x:row>
    <x:row r="104" ht="24" customHeight="1">
      <x:c r="A104" s="15" t="str">
        <x:v>blocks_15m</x:v>
      </x:c>
      <x:c r="B104" s="15" t="str">
        <x:v>validation</x:v>
      </x:c>
      <x:c r="C104" s="18" t="d">
        <x:v>2018-02-28T00:00:00.000Z</x:v>
      </x:c>
      <x:c r="D104" s="15" t="n">
        <x:v>24462</x:v>
      </x:c>
      <x:c r="E104" s="15" t="n">
        <x:v>457</x:v>
      </x:c>
      <x:c r="F104" s="15" t="n">
        <x:v>289006</x:v>
      </x:c>
      <x:c r="G104" s="15" t="n">
        <x:v>12139</x:v>
      </x:c>
    </x:row>
    <x:row r="105" ht="24" customHeight="1">
      <x:c r="A105" s="15" t="str">
        <x:v>blocks_15m</x:v>
      </x:c>
      <x:c r="B105" s="15" t="str">
        <x:v>validation</x:v>
      </x:c>
      <x:c r="C105" s="18" t="d">
        <x:v>2018-03-01T00:00:00.000Z</x:v>
      </x:c>
      <x:c r="D105" s="15" t="n">
        <x:v>24717</x:v>
      </x:c>
      <x:c r="E105" s="15" t="n">
        <x:v>392</x:v>
      </x:c>
      <x:c r="F105" s="15" t="n">
        <x:v>273963</x:v>
      </x:c>
      <x:c r="G105" s="15" t="n">
        <x:v>5436</x:v>
      </x:c>
    </x:row>
    <x:row r="106" ht="24" customHeight="1">
      <x:c r="A106" s="15" t="str">
        <x:v>blocks_15m</x:v>
      </x:c>
      <x:c r="B106" s="15" t="str">
        <x:v>validation</x:v>
      </x:c>
      <x:c r="C106" s="18" t="d">
        <x:v>2018-03-02T00:00:00.000Z</x:v>
      </x:c>
      <x:c r="D106" s="15" t="n">
        <x:v>18616</x:v>
      </x:c>
      <x:c r="E106" s="15" t="n">
        <x:v>222</x:v>
      </x:c>
      <x:c r="F106" s="15" t="n">
        <x:v>247898</x:v>
      </x:c>
      <x:c r="G106" s="15" t="n">
        <x:v>52460</x:v>
      </x:c>
    </x:row>
    <x:row r="107" ht="24" customHeight="1">
      <x:c r="A107" s="15" t="str">
        <x:v>blocks_15m</x:v>
      </x:c>
      <x:c r="B107" s="15" t="str">
        <x:v>test</x:v>
      </x:c>
      <x:c r="C107" s="18" t="d">
        <x:v>2018-02-14T00:00:00.000Z</x:v>
      </x:c>
      <x:c r="D107" s="15" t="n">
        <x:v>30785</x:v>
      </x:c>
      <x:c r="E107" s="15" t="n">
        <x:v>23</x:v>
      </x:c>
      <x:c r="F107" s="15" t="n">
        <x:v>398937</x:v>
      </x:c>
      <x:c r="G107" s="15" t="n">
        <x:v>100148</x:v>
      </x:c>
    </x:row>
    <x:row r="108" ht="24" customHeight="1">
      <x:c r="A108" s="15" t="str">
        <x:v>blocks_15m</x:v>
      </x:c>
      <x:c r="B108" s="15" t="str">
        <x:v>test</x:v>
      </x:c>
      <x:c r="C108" s="18" t="d">
        <x:v>2018-02-15T00:00:00.000Z</x:v>
      </x:c>
      <x:c r="D108" s="15" t="n">
        <x:v>19739</x:v>
      </x:c>
      <x:c r="E108" s="15" t="n">
        <x:v>0</x:v>
      </x:c>
      <x:c r="F108" s="15" t="n">
        <x:v>225822</x:v>
      </x:c>
      <x:c r="G108" s="15" t="n">
        <x:v>0</x:v>
      </x:c>
    </x:row>
    <x:row r="109" ht="24" customHeight="1">
      <x:c r="A109" s="15" t="str">
        <x:v>blocks_15m</x:v>
      </x:c>
      <x:c r="B109" s="15" t="str">
        <x:v>test</x:v>
      </x:c>
      <x:c r="C109" s="18" t="d">
        <x:v>2018-02-16T00:00:00.000Z</x:v>
      </x:c>
      <x:c r="D109" s="15" t="n">
        <x:v>13630</x:v>
      </x:c>
      <x:c r="E109" s="15" t="n">
        <x:v>0</x:v>
      </x:c>
      <x:c r="F109" s="15" t="n">
        <x:v>165039</x:v>
      </x:c>
      <x:c r="G109" s="15" t="n">
        <x:v>0</x:v>
      </x:c>
    </x:row>
    <x:row r="110" ht="24" customHeight="1">
      <x:c r="A110" s="15" t="str">
        <x:v>blocks_15m</x:v>
      </x:c>
      <x:c r="B110" s="15" t="str">
        <x:v>test</x:v>
      </x:c>
      <x:c r="C110" s="18" t="d">
        <x:v>2018-02-20T00:00:00.000Z</x:v>
      </x:c>
      <x:c r="D110" s="15" t="n">
        <x:v>20878</x:v>
      </x:c>
      <x:c r="E110" s="15" t="n">
        <x:v>61</x:v>
      </x:c>
      <x:c r="F110" s="15" t="n">
        <x:v>257453</x:v>
      </x:c>
      <x:c r="G110" s="15" t="n">
        <x:v>46803</x:v>
      </x:c>
    </x:row>
    <x:row r="111" ht="24" customHeight="1">
      <x:c r="A111" s="15" t="str">
        <x:v>blocks_15m</x:v>
      </x:c>
      <x:c r="B111" s="15" t="str">
        <x:v>test</x:v>
      </x:c>
      <x:c r="C111" s="18" t="d">
        <x:v>2018-02-21T00:00:00.000Z</x:v>
      </x:c>
      <x:c r="D111" s="15" t="n">
        <x:v>34270</x:v>
      </x:c>
      <x:c r="E111" s="15" t="n">
        <x:v>0</x:v>
      </x:c>
      <x:c r="F111" s="15" t="n">
        <x:v>368399</x:v>
      </x:c>
      <x:c r="G111" s="15" t="n">
        <x:v>0</x:v>
      </x:c>
    </x:row>
    <x:row r="112" ht="24" customHeight="1">
      <x:c r="A112" s="15" t="str">
        <x:v>blocks_15m</x:v>
      </x:c>
      <x:c r="B112" s="15" t="str">
        <x:v>test</x:v>
      </x:c>
      <x:c r="C112" s="18" t="d">
        <x:v>2018-02-22T00:00:00.000Z</x:v>
      </x:c>
      <x:c r="D112" s="15" t="n">
        <x:v>22436</x:v>
      </x:c>
      <x:c r="E112" s="15" t="n">
        <x:v>215</x:v>
      </x:c>
      <x:c r="F112" s="15" t="n">
        <x:v>276324</x:v>
      </x:c>
      <x:c r="G112" s="15" t="n">
        <x:v>291</x:v>
      </x:c>
    </x:row>
    <x:row r="113" ht="24" customHeight="1">
      <x:c r="A113" s="15" t="str">
        <x:v>blocks_15m</x:v>
      </x:c>
      <x:c r="B113" s="15" t="str">
        <x:v>test</x:v>
      </x:c>
      <x:c r="C113" s="18" t="d">
        <x:v>2018-02-23T00:00:00.000Z</x:v>
      </x:c>
      <x:c r="D113" s="15" t="n">
        <x:v>26294</x:v>
      </x:c>
      <x:c r="E113" s="15" t="n">
        <x:v>0</x:v>
      </x:c>
      <x:c r="F113" s="15" t="n">
        <x:v>284727</x:v>
      </x:c>
      <x:c r="G113" s="15" t="n">
        <x:v>0</x:v>
      </x:c>
    </x:row>
    <x:row r="114" ht="24" customHeight="1">
      <x:c r="A114" s="15" t="str">
        <x:v>blocks_15m</x:v>
      </x:c>
      <x:c r="B114" s="15" t="str">
        <x:v>test</x:v>
      </x:c>
      <x:c r="C114" s="18" t="d">
        <x:v>2018-02-27T00:00:00.000Z</x:v>
      </x:c>
      <x:c r="D114" s="15" t="n">
        <x:v>57</x:v>
      </x:c>
      <x:c r="E114" s="15" t="n">
        <x:v>0</x:v>
      </x:c>
      <x:c r="F114" s="15" t="n">
        <x:v>121</x:v>
      </x:c>
      <x:c r="G114" s="15" t="n">
        <x:v>0</x:v>
      </x:c>
    </x:row>
    <x:row r="115" ht="24" customHeight="1">
      <x:c r="A115" s="15" t="str">
        <x:v>blocks_15m</x:v>
      </x:c>
      <x:c r="B115" s="15" t="str">
        <x:v>test</x:v>
      </x:c>
      <x:c r="C115" s="18" t="d">
        <x:v>2018-02-28T00:00:00.000Z</x:v>
      </x:c>
      <x:c r="D115" s="15" t="n">
        <x:v>28703</x:v>
      </x:c>
      <x:c r="E115" s="15" t="n">
        <x:v>447</x:v>
      </x:c>
      <x:c r="F115" s="15" t="n">
        <x:v>302374</x:v>
      </x:c>
      <x:c r="G115" s="15" t="n">
        <x:v>5932</x:v>
      </x:c>
    </x:row>
    <x:row r="116" ht="24" customHeight="1">
      <x:c r="A116" s="15" t="str">
        <x:v>blocks_15m</x:v>
      </x:c>
      <x:c r="B116" s="15" t="str">
        <x:v>test</x:v>
      </x:c>
      <x:c r="C116" s="18" t="d">
        <x:v>2018-03-01T00:00:00.000Z</x:v>
      </x:c>
      <x:c r="D116" s="15" t="n">
        <x:v>12885</x:v>
      </x:c>
      <x:c r="E116" s="15" t="n">
        <x:v>327</x:v>
      </x:c>
      <x:c r="F116" s="15" t="n">
        <x:v>162326</x:v>
      </x:c>
      <x:c r="G116" s="15" t="n">
        <x:v>8461</x:v>
      </x:c>
    </x:row>
    <x:row r="117" ht="24" customHeight="1">
      <x:c r="A117" s="15" t="str">
        <x:v>blocks_15m</x:v>
      </x:c>
      <x:c r="B117" s="15" t="str">
        <x:v>test</x:v>
      </x:c>
      <x:c r="C117" s="18" t="d">
        <x:v>2018-03-02T00:00:00.000Z</x:v>
      </x:c>
      <x:c r="D117" s="15" t="n">
        <x:v>18892</x:v>
      </x:c>
      <x:c r="E117" s="15" t="n">
        <x:v>203</x:v>
      </x:c>
      <x:c r="F117" s="15" t="n">
        <x:v>247006</x:v>
      </x:c>
      <x:c r="G117" s="15" t="n">
        <x:v>45410</x:v>
      </x:c>
    </x:row>
    <x:row r="118" ht="24" customHeight="1">
      <x:c r="A118" s="15" t="str">
        <x:v>blocks_15m</x:v>
      </x:c>
      <x:c r="B118" s="15" t="str">
        <x:v>excluded</x:v>
      </x:c>
      <x:c r="C118" s="18" t="d">
        <x:v>2018-02-14T00:00:00.000Z</x:v>
      </x:c>
      <x:c r="D118" s="15" t="n">
        <x:v>23840</x:v>
      </x:c>
      <x:c r="E118" s="15" t="n">
        <x:v>20</x:v>
      </x:c>
      <x:c r="F118" s="15" t="n">
        <x:v>453611</x:v>
      </x:c>
      <x:c r="G118" s="15" t="n">
        <x:v>97634</x:v>
      </x:c>
    </x:row>
    <x:row r="119" ht="24" customHeight="1">
      <x:c r="A119" s="15" t="str">
        <x:v>blocks_15m</x:v>
      </x:c>
      <x:c r="B119" s="15" t="str">
        <x:v>excluded</x:v>
      </x:c>
      <x:c r="C119" s="18" t="d">
        <x:v>2018-02-15T00:00:00.000Z</x:v>
      </x:c>
      <x:c r="D119" s="15" t="n">
        <x:v>22486</x:v>
      </x:c>
      <x:c r="E119" s="15" t="n">
        <x:v>10</x:v>
      </x:c>
      <x:c r="F119" s="15" t="n">
        <x:v>384397</x:v>
      </x:c>
      <x:c r="G119" s="15" t="n">
        <x:v>24236</x:v>
      </x:c>
    </x:row>
    <x:row r="120" ht="24" customHeight="1">
      <x:c r="A120" s="15" t="str">
        <x:v>blocks_15m</x:v>
      </x:c>
      <x:c r="B120" s="15" t="str">
        <x:v>excluded</x:v>
      </x:c>
      <x:c r="C120" s="18" t="d">
        <x:v>2018-02-16T00:00:00.000Z</x:v>
      </x:c>
      <x:c r="D120" s="15" t="n">
        <x:v>16575</x:v>
      </x:c>
      <x:c r="E120" s="15" t="n">
        <x:v>4</x:v>
      </x:c>
      <x:c r="F120" s="15" t="n">
        <x:v>302219</x:v>
      </x:c>
      <x:c r="G120" s="15" t="n">
        <x:v>13270</x:v>
      </x:c>
    </x:row>
    <x:row r="121" ht="24" customHeight="1">
      <x:c r="A121" s="15" t="str">
        <x:v>blocks_15m</x:v>
      </x:c>
      <x:c r="B121" s="15" t="str">
        <x:v>excluded</x:v>
      </x:c>
      <x:c r="C121" s="18" t="d">
        <x:v>2018-02-20T00:00:00.000Z</x:v>
      </x:c>
      <x:c r="D121" s="15" t="n">
        <x:v>23665</x:v>
      </x:c>
      <x:c r="E121" s="15" t="n">
        <x:v>105</x:v>
      </x:c>
      <x:c r="F121" s="15" t="n">
        <x:v>409259</x:v>
      </x:c>
      <x:c r="G121" s="15" t="n">
        <x:v>71636</x:v>
      </x:c>
    </x:row>
    <x:row r="122" ht="24" customHeight="1">
      <x:c r="A122" s="15" t="str">
        <x:v>blocks_15m</x:v>
      </x:c>
      <x:c r="B122" s="15" t="str">
        <x:v>excluded</x:v>
      </x:c>
      <x:c r="C122" s="18" t="d">
        <x:v>2018-02-21T00:00:00.000Z</x:v>
      </x:c>
      <x:c r="D122" s="15" t="n">
        <x:v>20080</x:v>
      </x:c>
      <x:c r="E122" s="15" t="n">
        <x:v>0</x:v>
      </x:c>
      <x:c r="F122" s="15" t="n">
        <x:v>304709</x:v>
      </x:c>
      <x:c r="G122" s="15" t="n">
        <x:v>0</x:v>
      </x:c>
    </x:row>
    <x:row r="123" ht="24" customHeight="1">
      <x:c r="A123" s="15" t="str">
        <x:v>blocks_15m</x:v>
      </x:c>
      <x:c r="B123" s="15" t="str">
        <x:v>excluded</x:v>
      </x:c>
      <x:c r="C123" s="18" t="d">
        <x:v>2018-02-22T00:00:00.000Z</x:v>
      </x:c>
      <x:c r="D123" s="15" t="n">
        <x:v>20933</x:v>
      </x:c>
      <x:c r="E123" s="15" t="n">
        <x:v>225</x:v>
      </x:c>
      <x:c r="F123" s="15" t="n">
        <x:v>364435</x:v>
      </x:c>
      <x:c r="G123" s="15" t="n">
        <x:v>324</x:v>
      </x:c>
    </x:row>
    <x:row r="124" ht="24" customHeight="1">
      <x:c r="A124" s="15" t="str">
        <x:v>blocks_15m</x:v>
      </x:c>
      <x:c r="B124" s="15" t="str">
        <x:v>excluded</x:v>
      </x:c>
      <x:c r="C124" s="18" t="d">
        <x:v>2018-02-23T00:00:00.000Z</x:v>
      </x:c>
      <x:c r="D124" s="15" t="n">
        <x:v>28092</x:v>
      </x:c>
      <x:c r="E124" s="15" t="n">
        <x:v>0</x:v>
      </x:c>
      <x:c r="F124" s="15" t="n">
        <x:v>479859</x:v>
      </x:c>
      <x:c r="G124" s="15" t="n">
        <x:v>0</x:v>
      </x:c>
    </x:row>
    <x:row r="125" ht="24" customHeight="1">
      <x:c r="A125" s="15" t="str">
        <x:v>blocks_15m</x:v>
      </x:c>
      <x:c r="B125" s="15" t="str">
        <x:v>excluded</x:v>
      </x:c>
      <x:c r="C125" s="18" t="d">
        <x:v>2018-02-27T00:00:00.000Z</x:v>
      </x:c>
      <x:c r="D125" s="15" t="n">
        <x:v>88</x:v>
      </x:c>
      <x:c r="E125" s="15" t="n">
        <x:v>0</x:v>
      </x:c>
      <x:c r="F125" s="15" t="n">
        <x:v>193</x:v>
      </x:c>
      <x:c r="G125" s="15" t="n">
        <x:v>0</x:v>
      </x:c>
    </x:row>
    <x:row r="126" ht="24" customHeight="1">
      <x:c r="A126" s="15" t="str">
        <x:v>blocks_15m</x:v>
      </x:c>
      <x:c r="B126" s="15" t="str">
        <x:v>excluded</x:v>
      </x:c>
      <x:c r="C126" s="18" t="d">
        <x:v>2018-02-28T00:00:00.000Z</x:v>
      </x:c>
      <x:c r="D126" s="15" t="n">
        <x:v>24332</x:v>
      </x:c>
      <x:c r="E126" s="15" t="n">
        <x:v>473</x:v>
      </x:c>
      <x:c r="F126" s="15" t="n">
        <x:v>381682</x:v>
      </x:c>
      <x:c r="G126" s="15" t="n">
        <x:v>12766</x:v>
      </x:c>
    </x:row>
    <x:row r="127" ht="24" customHeight="1">
      <x:c r="A127" s="15" t="str">
        <x:v>blocks_15m</x:v>
      </x:c>
      <x:c r="B127" s="15" t="str">
        <x:v>excluded</x:v>
      </x:c>
      <x:c r="C127" s="18" t="d">
        <x:v>2018-03-01T00:00:00.000Z</x:v>
      </x:c>
      <x:c r="D127" s="15" t="n">
        <x:v>23143</x:v>
      </x:c>
      <x:c r="E127" s="15" t="n">
        <x:v>460</x:v>
      </x:c>
      <x:c r="F127" s="15" t="n">
        <x:v>398037</x:v>
      </x:c>
      <x:c r="G127" s="15" t="n">
        <x:v>16429</x:v>
      </x:c>
    </x:row>
    <x:row r="128" ht="24" customHeight="1">
      <x:c r="A128" s="15" t="str">
        <x:v>blocks_15m</x:v>
      </x:c>
      <x:c r="B128" s="15" t="str">
        <x:v>excluded</x:v>
      </x:c>
      <x:c r="C128" s="18" t="d">
        <x:v>2018-03-02T00:00:00.000Z</x:v>
      </x:c>
      <x:c r="D128" s="15" t="n">
        <x:v>16627</x:v>
      </x:c>
      <x:c r="E128" s="15" t="n">
        <x:v>142</x:v>
      </x:c>
      <x:c r="F128" s="15" t="n">
        <x:v>280940</x:v>
      </x:c>
      <x:c r="G128" s="15" t="n">
        <x:v>19889</x:v>
      </x:c>
    </x:row>
    <x:row r="129" ht="24" customHeight="1">
      <x:c r="A129" s="15" t="str">
        <x:v>blocks_30m</x:v>
      </x:c>
      <x:c r="B129" s="15" t="str">
        <x:v>train</x:v>
      </x:c>
      <x:c r="C129" s="18" t="d">
        <x:v>2018-02-14T00:00:00.000Z</x:v>
      </x:c>
      <x:c r="D129" s="15" t="n">
        <x:v>83629</x:v>
      </x:c>
      <x:c r="E129" s="15" t="n">
        <x:v>54</x:v>
      </x:c>
      <x:c r="F129" s="15" t="n">
        <x:v>1228758</x:v>
      </x:c>
      <x:c r="G129" s="15" t="n">
        <x:v>305826</x:v>
      </x:c>
    </x:row>
    <x:row r="130" ht="24" customHeight="1">
      <x:c r="A130" s="15" t="str">
        <x:v>blocks_30m</x:v>
      </x:c>
      <x:c r="B130" s="15" t="str">
        <x:v>train</x:v>
      </x:c>
      <x:c r="C130" s="18" t="d">
        <x:v>2018-02-15T00:00:00.000Z</x:v>
      </x:c>
      <x:c r="D130" s="15" t="n">
        <x:v>56364</x:v>
      </x:c>
      <x:c r="E130" s="15" t="n">
        <x:v>6</x:v>
      </x:c>
      <x:c r="F130" s="15" t="n">
        <x:v>658955</x:v>
      </x:c>
      <x:c r="G130" s="15" t="n">
        <x:v>8914</x:v>
      </x:c>
    </x:row>
    <x:row r="131" ht="24" customHeight="1">
      <x:c r="A131" s="15" t="str">
        <x:v>blocks_30m</x:v>
      </x:c>
      <x:c r="B131" s="15" t="str">
        <x:v>train</x:v>
      </x:c>
      <x:c r="C131" s="18" t="d">
        <x:v>2018-02-16T00:00:00.000Z</x:v>
      </x:c>
      <x:c r="D131" s="15" t="n">
        <x:v>67598</x:v>
      </x:c>
      <x:c r="E131" s="15" t="n">
        <x:v>16</x:v>
      </x:c>
      <x:c r="F131" s="15" t="n">
        <x:v>889982</x:v>
      </x:c>
      <x:c r="G131" s="15" t="n">
        <x:v>53100</x:v>
      </x:c>
    </x:row>
    <x:row r="132" ht="24" customHeight="1">
      <x:c r="A132" s="15" t="str">
        <x:v>blocks_30m</x:v>
      </x:c>
      <x:c r="B132" s="15" t="str">
        <x:v>train</x:v>
      </x:c>
      <x:c r="C132" s="18" t="d">
        <x:v>2018-02-20T00:00:00.000Z</x:v>
      </x:c>
      <x:c r="D132" s="15" t="n">
        <x:v>78545</x:v>
      </x:c>
      <x:c r="E132" s="15" t="n">
        <x:v>361</x:v>
      </x:c>
      <x:c r="F132" s="15" t="n">
        <x:v>1008711</x:v>
      </x:c>
      <x:c r="G132" s="15" t="n">
        <x:v>203151</x:v>
      </x:c>
    </x:row>
    <x:row r="133" ht="24" customHeight="1">
      <x:c r="A133" s="15" t="str">
        <x:v>blocks_30m</x:v>
      </x:c>
      <x:c r="B133" s="15" t="str">
        <x:v>train</x:v>
      </x:c>
      <x:c r="C133" s="18" t="d">
        <x:v>2018-02-21T00:00:00.000Z</x:v>
      </x:c>
      <x:c r="D133" s="15" t="n">
        <x:v>103867</x:v>
      </x:c>
      <x:c r="E133" s="15" t="n">
        <x:v>343</x:v>
      </x:c>
      <x:c r="F133" s="15" t="n">
        <x:v>1565962</x:v>
      </x:c>
      <x:c r="G133" s="15" t="n">
        <x:v>459214</x:v>
      </x:c>
    </x:row>
    <x:row r="134" ht="24" customHeight="1">
      <x:c r="A134" s="15" t="str">
        <x:v>blocks_30m</x:v>
      </x:c>
      <x:c r="B134" s="15" t="str">
        <x:v>train</x:v>
      </x:c>
      <x:c r="C134" s="18" t="d">
        <x:v>2018-02-22T00:00:00.000Z</x:v>
      </x:c>
      <x:c r="D134" s="15" t="n">
        <x:v>101120</x:v>
      </x:c>
      <x:c r="E134" s="15" t="n">
        <x:v>1097</x:v>
      </x:c>
      <x:c r="F134" s="15" t="n">
        <x:v>1268640</x:v>
      </x:c>
      <x:c r="G134" s="15" t="n">
        <x:v>1612</x:v>
      </x:c>
    </x:row>
    <x:row r="135" ht="24" customHeight="1">
      <x:c r="A135" s="15" t="str">
        <x:v>blocks_30m</x:v>
      </x:c>
      <x:c r="B135" s="15" t="str">
        <x:v>train</x:v>
      </x:c>
      <x:c r="C135" s="18" t="d">
        <x:v>2018-02-23T00:00:00.000Z</x:v>
      </x:c>
      <x:c r="D135" s="15" t="n">
        <x:v>76148</x:v>
      </x:c>
      <x:c r="E135" s="15" t="n">
        <x:v>0</x:v>
      </x:c>
      <x:c r="F135" s="15" t="n">
        <x:v>971995</x:v>
      </x:c>
      <x:c r="G135" s="15" t="n">
        <x:v>0</x:v>
      </x:c>
    </x:row>
    <x:row r="136" ht="24" customHeight="1">
      <x:c r="A136" s="15" t="str">
        <x:v>blocks_30m</x:v>
      </x:c>
      <x:c r="B136" s="15" t="str">
        <x:v>train</x:v>
      </x:c>
      <x:c r="C136" s="18" t="d">
        <x:v>2018-02-27T00:00:00.000Z</x:v>
      </x:c>
      <x:c r="D136" s="15" t="n">
        <x:v>233</x:v>
      </x:c>
      <x:c r="E136" s="15" t="n">
        <x:v>0</x:v>
      </x:c>
      <x:c r="F136" s="15" t="n">
        <x:v>566</x:v>
      </x:c>
      <x:c r="G136" s="15" t="n">
        <x:v>0</x:v>
      </x:c>
    </x:row>
    <x:row r="137" ht="24" customHeight="1">
      <x:c r="A137" s="15" t="str">
        <x:v>blocks_30m</x:v>
      </x:c>
      <x:c r="B137" s="15" t="str">
        <x:v>train</x:v>
      </x:c>
      <x:c r="C137" s="18" t="d">
        <x:v>2018-02-28T00:00:00.000Z</x:v>
      </x:c>
      <x:c r="D137" s="15" t="n">
        <x:v>93981</x:v>
      </x:c>
      <x:c r="E137" s="15" t="n">
        <x:v>1895</x:v>
      </x:c>
      <x:c r="F137" s="15" t="n">
        <x:v>1164102</x:v>
      </x:c>
      <x:c r="G137" s="15" t="n">
        <x:v>55002</x:v>
      </x:c>
    </x:row>
    <x:row r="138" ht="24" customHeight="1">
      <x:c r="A138" s="15" t="str">
        <x:v>blocks_30m</x:v>
      </x:c>
      <x:c r="B138" s="15" t="str">
        <x:v>train</x:v>
      </x:c>
      <x:c r="C138" s="18" t="d">
        <x:v>2018-03-01T00:00:00.000Z</x:v>
      </x:c>
      <x:c r="D138" s="15" t="n">
        <x:v>92563</x:v>
      </x:c>
      <x:c r="E138" s="15" t="n">
        <x:v>1934</x:v>
      </x:c>
      <x:c r="F138" s="15" t="n">
        <x:v>1169128</x:v>
      </x:c>
      <x:c r="G138" s="15" t="n">
        <x:v>59869</x:v>
      </x:c>
    </x:row>
    <x:row r="139" ht="24" customHeight="1">
      <x:c r="A139" s="15" t="str">
        <x:v>blocks_30m</x:v>
      </x:c>
      <x:c r="B139" s="15" t="str">
        <x:v>train</x:v>
      </x:c>
      <x:c r="C139" s="18" t="d">
        <x:v>2018-03-02T00:00:00.000Z</x:v>
      </x:c>
      <x:c r="D139" s="15" t="n">
        <x:v>74091</x:v>
      </x:c>
      <x:c r="E139" s="15" t="n">
        <x:v>727</x:v>
      </x:c>
      <x:c r="F139" s="15" t="n">
        <x:v>981205</x:v>
      </x:c>
      <x:c r="G139" s="15" t="n">
        <x:v>134028</x:v>
      </x:c>
    </x:row>
    <x:row r="140" ht="24" customHeight="1">
      <x:c r="A140" s="15" t="str">
        <x:v>blocks_30m</x:v>
      </x:c>
      <x:c r="B140" s="15" t="str">
        <x:v>validation</x:v>
      </x:c>
      <x:c r="C140" s="18" t="d">
        <x:v>2018-02-14T00:00:00.000Z</x:v>
      </x:c>
      <x:c r="D140" s="15" t="n">
        <x:v>27669</x:v>
      </x:c>
      <x:c r="E140" s="15" t="n">
        <x:v>17</x:v>
      </x:c>
      <x:c r="F140" s="15" t="n">
        <x:v>379672</x:v>
      </x:c>
      <x:c r="G140" s="15" t="n">
        <x:v>108012</x:v>
      </x:c>
    </x:row>
    <x:row r="141" ht="24" customHeight="1">
      <x:c r="A141" s="15" t="str">
        <x:v>blocks_30m</x:v>
      </x:c>
      <x:c r="B141" s="15" t="str">
        <x:v>validation</x:v>
      </x:c>
      <x:c r="C141" s="18" t="d">
        <x:v>2018-02-15T00:00:00.000Z</x:v>
      </x:c>
      <x:c r="D141" s="15" t="n">
        <x:v>11626</x:v>
      </x:c>
      <x:c r="E141" s="15" t="n">
        <x:v>0</x:v>
      </x:c>
      <x:c r="F141" s="15" t="n">
        <x:v>140025</x:v>
      </x:c>
      <x:c r="G141" s="15" t="n">
        <x:v>0</x:v>
      </x:c>
    </x:row>
    <x:row r="142" ht="24" customHeight="1">
      <x:c r="A142" s="15" t="str">
        <x:v>blocks_30m</x:v>
      </x:c>
      <x:c r="B142" s="15" t="str">
        <x:v>validation</x:v>
      </x:c>
      <x:c r="C142" s="18" t="d">
        <x:v>2018-02-16T00:00:00.000Z</x:v>
      </x:c>
      <x:c r="D142" s="15" t="n">
        <x:v>30124</x:v>
      </x:c>
      <x:c r="E142" s="15" t="n">
        <x:v>9</x:v>
      </x:c>
      <x:c r="F142" s="15" t="n">
        <x:v>454927</x:v>
      </x:c>
      <x:c r="G142" s="15" t="n">
        <x:v>82740</x:v>
      </x:c>
    </x:row>
    <x:row r="143" ht="24" customHeight="1">
      <x:c r="A143" s="15" t="str">
        <x:v>blocks_30m</x:v>
      </x:c>
      <x:c r="B143" s="15" t="str">
        <x:v>validation</x:v>
      </x:c>
      <x:c r="C143" s="18" t="d">
        <x:v>2018-02-20T00:00:00.000Z</x:v>
      </x:c>
      <x:c r="D143" s="15" t="n">
        <x:v>29808</x:v>
      </x:c>
      <x:c r="E143" s="15" t="n">
        <x:v>0</x:v>
      </x:c>
      <x:c r="F143" s="15" t="n">
        <x:v>302000</x:v>
      </x:c>
      <x:c r="G143" s="15" t="n">
        <x:v>0</x:v>
      </x:c>
    </x:row>
    <x:row r="144" ht="24" customHeight="1">
      <x:c r="A144" s="15" t="str">
        <x:v>blocks_30m</x:v>
      </x:c>
      <x:c r="B144" s="15" t="str">
        <x:v>validation</x:v>
      </x:c>
      <x:c r="C144" s="18" t="d">
        <x:v>2018-02-21T00:00:00.000Z</x:v>
      </x:c>
      <x:c r="D144" s="15" t="n">
        <x:v>14318</x:v>
      </x:c>
      <x:c r="E144" s="15" t="n">
        <x:v>104</x:v>
      </x:c>
      <x:c r="F144" s="15" t="n">
        <x:v>523658</x:v>
      </x:c>
      <x:c r="G144" s="15" t="n">
        <x:v>366064</x:v>
      </x:c>
    </x:row>
    <x:row r="145" ht="24" customHeight="1">
      <x:c r="A145" s="15" t="str">
        <x:v>blocks_30m</x:v>
      </x:c>
      <x:c r="B145" s="15" t="str">
        <x:v>validation</x:v>
      </x:c>
      <x:c r="C145" s="18" t="d">
        <x:v>2018-02-22T00:00:00.000Z</x:v>
      </x:c>
      <x:c r="D145" s="15" t="n">
        <x:v>21395</x:v>
      </x:c>
      <x:c r="E145" s="15" t="n">
        <x:v>240</x:v>
      </x:c>
      <x:c r="F145" s="15" t="n">
        <x:v>258290</x:v>
      </x:c>
      <x:c r="G145" s="15" t="n">
        <x:v>416</x:v>
      </x:c>
    </x:row>
    <x:row r="146" ht="24" customHeight="1">
      <x:c r="A146" s="15" t="str">
        <x:v>blocks_30m</x:v>
      </x:c>
      <x:c r="B146" s="15" t="str">
        <x:v>validation</x:v>
      </x:c>
      <x:c r="C146" s="18" t="d">
        <x:v>2018-02-23T00:00:00.000Z</x:v>
      </x:c>
      <x:c r="D146" s="15" t="n">
        <x:v>34709</x:v>
      </x:c>
      <x:c r="E146" s="15" t="n">
        <x:v>0</x:v>
      </x:c>
      <x:c r="F146" s="15" t="n">
        <x:v>419981</x:v>
      </x:c>
      <x:c r="G146" s="15" t="n">
        <x:v>0</x:v>
      </x:c>
    </x:row>
    <x:row r="147" ht="24" customHeight="1">
      <x:c r="A147" s="15" t="str">
        <x:v>blocks_30m</x:v>
      </x:c>
      <x:c r="B147" s="15" t="str">
        <x:v>validation</x:v>
      </x:c>
      <x:c r="C147" s="18" t="d">
        <x:v>2018-02-27T00:00:00.000Z</x:v>
      </x:c>
      <x:c r="D147" s="15" t="n">
        <x:v>45</x:v>
      </x:c>
      <x:c r="E147" s="15" t="n">
        <x:v>0</x:v>
      </x:c>
      <x:c r="F147" s="15" t="n">
        <x:v>61</x:v>
      </x:c>
      <x:c r="G147" s="15" t="n">
        <x:v>0</x:v>
      </x:c>
    </x:row>
    <x:row r="148" ht="24" customHeight="1">
      <x:c r="A148" s="15" t="str">
        <x:v>blocks_30m</x:v>
      </x:c>
      <x:c r="B148" s="15" t="str">
        <x:v>validation</x:v>
      </x:c>
      <x:c r="C148" s="18" t="d">
        <x:v>2018-02-28T00:00:00.000Z</x:v>
      </x:c>
      <x:c r="D148" s="15" t="n">
        <x:v>16161</x:v>
      </x:c>
      <x:c r="E148" s="15" t="n">
        <x:v>229</x:v>
      </x:c>
      <x:c r="F148" s="15" t="n">
        <x:v>179878</x:v>
      </x:c>
      <x:c r="G148" s="15" t="n">
        <x:v>2950</x:v>
      </x:c>
    </x:row>
    <x:row r="149" ht="24" customHeight="1">
      <x:c r="A149" s="15" t="str">
        <x:v>blocks_30m</x:v>
      </x:c>
      <x:c r="B149" s="15" t="str">
        <x:v>validation</x:v>
      </x:c>
      <x:c r="C149" s="18" t="d">
        <x:v>2018-03-01T00:00:00.000Z</x:v>
      </x:c>
      <x:c r="D149" s="15" t="n">
        <x:v>26391</x:v>
      </x:c>
      <x:c r="E149" s="15" t="n">
        <x:v>349</x:v>
      </x:c>
      <x:c r="F149" s="15" t="n">
        <x:v>304094</x:v>
      </x:c>
      <x:c r="G149" s="15" t="n">
        <x:v>4981</x:v>
      </x:c>
    </x:row>
    <x:row r="150" ht="24" customHeight="1">
      <x:c r="A150" s="15" t="str">
        <x:v>blocks_30m</x:v>
      </x:c>
      <x:c r="B150" s="15" t="str">
        <x:v>validation</x:v>
      </x:c>
      <x:c r="C150" s="18" t="d">
        <x:v>2018-03-02T00:00:00.000Z</x:v>
      </x:c>
      <x:c r="D150" s="15" t="n">
        <x:v>46328</x:v>
      </x:c>
      <x:c r="E150" s="15" t="n">
        <x:v>582</x:v>
      </x:c>
      <x:c r="F150" s="15" t="n">
        <x:v>609453</x:v>
      </x:c>
      <x:c r="G150" s="15" t="n">
        <x:v>66569</x:v>
      </x:c>
    </x:row>
    <x:row r="151" ht="24" customHeight="1">
      <x:c r="A151" s="15" t="str">
        <x:v>blocks_30m</x:v>
      </x:c>
      <x:c r="B151" s="15" t="str">
        <x:v>test</x:v>
      </x:c>
      <x:c r="C151" s="18" t="d">
        <x:v>2018-02-14T00:00:00.000Z</x:v>
      </x:c>
      <x:c r="D151" s="15" t="n">
        <x:v>20428</x:v>
      </x:c>
      <x:c r="E151" s="15" t="n">
        <x:v>33</x:v>
      </x:c>
      <x:c r="F151" s="15" t="n">
        <x:v>306521</x:v>
      </x:c>
      <x:c r="G151" s="15" t="n">
        <x:v>113916</x:v>
      </x:c>
    </x:row>
    <x:row r="152" ht="24" customHeight="1">
      <x:c r="A152" s="15" t="str">
        <x:v>blocks_30m</x:v>
      </x:c>
      <x:c r="B152" s="15" t="str">
        <x:v>test</x:v>
      </x:c>
      <x:c r="C152" s="18" t="d">
        <x:v>2018-02-15T00:00:00.000Z</x:v>
      </x:c>
      <x:c r="D152" s="15" t="n">
        <x:v>47706</x:v>
      </x:c>
      <x:c r="E152" s="15" t="n">
        <x:v>26</x:v>
      </x:c>
      <x:c r="F152" s="15" t="n">
        <x:v>638000</x:v>
      </x:c>
      <x:c r="G152" s="15" t="n">
        <x:v>68524</x:v>
      </x:c>
    </x:row>
    <x:row r="153" ht="24" customHeight="1">
      <x:c r="A153" s="15" t="str">
        <x:v>blocks_30m</x:v>
      </x:c>
      <x:c r="B153" s="15" t="str">
        <x:v>test</x:v>
      </x:c>
      <x:c r="C153" s="18" t="d">
        <x:v>2018-02-16T00:00:00.000Z</x:v>
      </x:c>
      <x:c r="D153" s="15" t="n">
        <x:v>12268</x:v>
      </x:c>
      <x:c r="E153" s="15" t="n">
        <x:v>10</x:v>
      </x:c>
      <x:c r="F153" s="15" t="n">
        <x:v>182484</x:v>
      </x:c>
      <x:c r="G153" s="15" t="n">
        <x:v>32070</x:v>
      </x:c>
    </x:row>
    <x:row r="154" ht="24" customHeight="1">
      <x:c r="A154" s="15" t="str">
        <x:v>blocks_30m</x:v>
      </x:c>
      <x:c r="B154" s="15" t="str">
        <x:v>test</x:v>
      </x:c>
      <x:c r="C154" s="18" t="d">
        <x:v>2018-02-20T00:00:00.000Z</x:v>
      </x:c>
      <x:c r="D154" s="15" t="n">
        <x:v>27836</x:v>
      </x:c>
      <x:c r="E154" s="15" t="n">
        <x:v>80</x:v>
      </x:c>
      <x:c r="F154" s="15" t="n">
        <x:v>343662</x:v>
      </x:c>
      <x:c r="G154" s="15" t="n">
        <x:v>62109</x:v>
      </x:c>
    </x:row>
    <x:row r="155" ht="24" customHeight="1">
      <x:c r="A155" s="15" t="str">
        <x:v>blocks_30m</x:v>
      </x:c>
      <x:c r="B155" s="15" t="str">
        <x:v>test</x:v>
      </x:c>
      <x:c r="C155" s="18" t="d">
        <x:v>2018-02-21T00:00:00.000Z</x:v>
      </x:c>
      <x:c r="D155" s="15" t="n">
        <x:v>21336</x:v>
      </x:c>
      <x:c r="E155" s="15" t="n">
        <x:v>30</x:v>
      </x:c>
      <x:c r="F155" s="15" t="n">
        <x:v>309220</x:v>
      </x:c>
      <x:c r="G155" s="15" t="n">
        <x:v>53532</x:v>
      </x:c>
    </x:row>
    <x:row r="156" ht="24" customHeight="1">
      <x:c r="A156" s="15" t="str">
        <x:v>blocks_30m</x:v>
      </x:c>
      <x:c r="B156" s="15" t="str">
        <x:v>test</x:v>
      </x:c>
      <x:c r="C156" s="18" t="d">
        <x:v>2018-02-22T00:00:00.000Z</x:v>
      </x:c>
      <x:c r="D156" s="15" t="n">
        <x:v>23534</x:v>
      </x:c>
      <x:c r="E156" s="15" t="n">
        <x:v>236</x:v>
      </x:c>
      <x:c r="F156" s="15" t="n">
        <x:v>293538</x:v>
      </x:c>
      <x:c r="G156" s="15" t="n">
        <x:v>325</x:v>
      </x:c>
    </x:row>
    <x:row r="157" ht="24" customHeight="1">
      <x:c r="A157" s="15" t="str">
        <x:v>blocks_30m</x:v>
      </x:c>
      <x:c r="B157" s="15" t="str">
        <x:v>test</x:v>
      </x:c>
      <x:c r="C157" s="18" t="d">
        <x:v>2018-02-23T00:00:00.000Z</x:v>
      </x:c>
      <x:c r="D157" s="15" t="n">
        <x:v>26921</x:v>
      </x:c>
      <x:c r="E157" s="15" t="n">
        <x:v>0</x:v>
      </x:c>
      <x:c r="F157" s="15" t="n">
        <x:v>320988</x:v>
      </x:c>
      <x:c r="G157" s="15" t="n">
        <x:v>0</x:v>
      </x:c>
    </x:row>
    <x:row r="158" ht="24" customHeight="1">
      <x:c r="A158" s="15" t="str">
        <x:v>blocks_30m</x:v>
      </x:c>
      <x:c r="B158" s="15" t="str">
        <x:v>test</x:v>
      </x:c>
      <x:c r="C158" s="18" t="d">
        <x:v>2018-02-27T00:00:00.000Z</x:v>
      </x:c>
      <x:c r="D158" s="15" t="n">
        <x:v>54</x:v>
      </x:c>
      <x:c r="E158" s="15" t="n">
        <x:v>0</x:v>
      </x:c>
      <x:c r="F158" s="15" t="n">
        <x:v>86</x:v>
      </x:c>
      <x:c r="G158" s="15" t="n">
        <x:v>0</x:v>
      </x:c>
    </x:row>
    <x:row r="159" ht="24" customHeight="1">
      <x:c r="A159" s="15" t="str">
        <x:v>blocks_30m</x:v>
      </x:c>
      <x:c r="B159" s="15" t="str">
        <x:v>test</x:v>
      </x:c>
      <x:c r="C159" s="18" t="d">
        <x:v>2018-02-28T00:00:00.000Z</x:v>
      </x:c>
      <x:c r="D159" s="15" t="n">
        <x:v>38342</x:v>
      </x:c>
      <x:c r="E159" s="15" t="n">
        <x:v>791</x:v>
      </x:c>
      <x:c r="F159" s="15" t="n">
        <x:v>437267</x:v>
      </x:c>
      <x:c r="G159" s="15" t="n">
        <x:v>16313</x:v>
      </x:c>
    </x:row>
    <x:row r="160" ht="24" customHeight="1">
      <x:c r="A160" s="15" t="str">
        <x:v>blocks_30m</x:v>
      </x:c>
      <x:c r="B160" s="15" t="str">
        <x:v>test</x:v>
      </x:c>
      <x:c r="C160" s="18" t="d">
        <x:v>2018-03-01T00:00:00.000Z</x:v>
      </x:c>
      <x:c r="D160" s="15" t="n">
        <x:v>34437</x:v>
      </x:c>
      <x:c r="E160" s="15" t="n">
        <x:v>852</x:v>
      </x:c>
      <x:c r="F160" s="15" t="n">
        <x:v>466435</x:v>
      </x:c>
      <x:c r="G160" s="15" t="n">
        <x:v>27057</x:v>
      </x:c>
    </x:row>
    <x:row r="161" ht="24" customHeight="1">
      <x:c r="A161" s="15" t="str">
        <x:v>blocks_30m</x:v>
      </x:c>
      <x:c r="B161" s="15" t="str">
        <x:v>test</x:v>
      </x:c>
      <x:c r="C161" s="18" t="d">
        <x:v>2018-03-02T00:00:00.000Z</x:v>
      </x:c>
      <x:c r="D161" s="15" t="n">
        <x:v>8125</x:v>
      </x:c>
      <x:c r="E161" s="15" t="n">
        <x:v>0</x:v>
      </x:c>
      <x:c r="F161" s="15" t="n">
        <x:v>88715</x:v>
      </x:c>
      <x:c r="G161" s="15" t="n">
        <x:v>0</x:v>
      </x:c>
    </x:row>
    <x:row r="162" ht="24" customHeight="1">
      <x:c r="A162" s="15" t="str">
        <x:v>blocks_30m</x:v>
      </x:c>
      <x:c r="B162" s="15" t="str">
        <x:v>excluded</x:v>
      </x:c>
      <x:c r="C162" s="18" t="d">
        <x:v>2018-02-14T00:00:00.000Z</x:v>
      </x:c>
      <x:c r="D162" s="15" t="n">
        <x:v>11804</x:v>
      </x:c>
      <x:c r="E162" s="15" t="n">
        <x:v>11</x:v>
      </x:c>
      <x:c r="F162" s="15" t="n">
        <x:v>223887</x:v>
      </x:c>
      <x:c r="G162" s="15" t="n">
        <x:v>47440</x:v>
      </x:c>
    </x:row>
    <x:row r="163" ht="24" customHeight="1">
      <x:c r="A163" s="15" t="str">
        <x:v>blocks_30m</x:v>
      </x:c>
      <x:c r="B163" s="15" t="str">
        <x:v>excluded</x:v>
      </x:c>
      <x:c r="C163" s="18" t="d">
        <x:v>2018-02-15T00:00:00.000Z</x:v>
      </x:c>
      <x:c r="D163" s="15" t="n">
        <x:v>13024</x:v>
      </x:c>
      <x:c r="E163" s="15" t="n">
        <x:v>7</x:v>
      </x:c>
      <x:c r="F163" s="15" t="n">
        <x:v>228341</x:v>
      </x:c>
      <x:c r="G163" s="15" t="n">
        <x:v>19902</x:v>
      </x:c>
    </x:row>
    <x:row r="164" ht="24" customHeight="1">
      <x:c r="A164" s="15" t="str">
        <x:v>blocks_30m</x:v>
      </x:c>
      <x:c r="B164" s="15" t="str">
        <x:v>excluded</x:v>
      </x:c>
      <x:c r="C164" s="18" t="d">
        <x:v>2018-02-16T00:00:00.000Z</x:v>
      </x:c>
      <x:c r="D164" s="15" t="n">
        <x:v>12797</x:v>
      </x:c>
      <x:c r="E164" s="15" t="n">
        <x:v>7</x:v>
      </x:c>
      <x:c r="F164" s="15" t="n">
        <x:v>256736</x:v>
      </x:c>
      <x:c r="G164" s="15" t="n">
        <x:v>37716</x:v>
      </x:c>
    </x:row>
    <x:row r="165" ht="24" customHeight="1">
      <x:c r="A165" s="15" t="str">
        <x:v>blocks_30m</x:v>
      </x:c>
      <x:c r="B165" s="15" t="str">
        <x:v>excluded</x:v>
      </x:c>
      <x:c r="C165" s="18" t="d">
        <x:v>2018-02-20T00:00:00.000Z</x:v>
      </x:c>
      <x:c r="D165" s="15" t="n">
        <x:v>10316</x:v>
      </x:c>
      <x:c r="E165" s="15" t="n">
        <x:v>30</x:v>
      </x:c>
      <x:c r="F165" s="15" t="n">
        <x:v>175486</x:v>
      </x:c>
      <x:c r="G165" s="15" t="n">
        <x:v>23329</x:v>
      </x:c>
    </x:row>
    <x:row r="166" ht="24" customHeight="1">
      <x:c r="A166" s="15" t="str">
        <x:v>blocks_30m</x:v>
      </x:c>
      <x:c r="B166" s="15" t="str">
        <x:v>excluded</x:v>
      </x:c>
      <x:c r="C166" s="18" t="d">
        <x:v>2018-02-21T00:00:00.000Z</x:v>
      </x:c>
      <x:c r="D166" s="15" t="n">
        <x:v>9620</x:v>
      </x:c>
      <x:c r="E166" s="15" t="n">
        <x:v>51</x:v>
      </x:c>
      <x:c r="F166" s="15" t="n">
        <x:v>313963</x:v>
      </x:c>
      <x:c r="G166" s="15" t="n">
        <x:v>156951</x:v>
      </x:c>
    </x:row>
    <x:row r="167" ht="24" customHeight="1">
      <x:c r="A167" s="15" t="str">
        <x:v>blocks_30m</x:v>
      </x:c>
      <x:c r="B167" s="15" t="str">
        <x:v>excluded</x:v>
      </x:c>
      <x:c r="C167" s="18" t="d">
        <x:v>2018-02-22T00:00:00.000Z</x:v>
      </x:c>
      <x:c r="D167" s="15" t="n">
        <x:v>12260</x:v>
      </x:c>
      <x:c r="E167" s="15" t="n">
        <x:v>129</x:v>
      </x:c>
      <x:c r="F167" s="15" t="n">
        <x:v>219660</x:v>
      </x:c>
      <x:c r="G167" s="15" t="n">
        <x:v>185</x:v>
      </x:c>
    </x:row>
    <x:row r="168" ht="24" customHeight="1">
      <x:c r="A168" s="15" t="str">
        <x:v>blocks_30m</x:v>
      </x:c>
      <x:c r="B168" s="15" t="str">
        <x:v>excluded</x:v>
      </x:c>
      <x:c r="C168" s="18" t="d">
        <x:v>2018-02-23T00:00:00.000Z</x:v>
      </x:c>
      <x:c r="D168" s="15" t="n">
        <x:v>12671</x:v>
      </x:c>
      <x:c r="E168" s="15" t="n">
        <x:v>0</x:v>
      </x:c>
      <x:c r="F168" s="15" t="n">
        <x:v>220038</x:v>
      </x:c>
      <x:c r="G168" s="15" t="n">
        <x:v>0</x:v>
      </x:c>
    </x:row>
    <x:row r="169" ht="24" customHeight="1">
      <x:c r="A169" s="15" t="str">
        <x:v>blocks_30m</x:v>
      </x:c>
      <x:c r="B169" s="15" t="str">
        <x:v>excluded</x:v>
      </x:c>
      <x:c r="C169" s="18" t="d">
        <x:v>2018-02-27T00:00:00.000Z</x:v>
      </x:c>
      <x:c r="D169" s="15" t="n">
        <x:v>44</x:v>
      </x:c>
      <x:c r="E169" s="15" t="n">
        <x:v>0</x:v>
      </x:c>
      <x:c r="F169" s="15" t="n">
        <x:v>115</x:v>
      </x:c>
      <x:c r="G169" s="15" t="n">
        <x:v>0</x:v>
      </x:c>
    </x:row>
    <x:row r="170" ht="24" customHeight="1">
      <x:c r="A170" s="15" t="str">
        <x:v>blocks_30m</x:v>
      </x:c>
      <x:c r="B170" s="15" t="str">
        <x:v>excluded</x:v>
      </x:c>
      <x:c r="C170" s="18" t="d">
        <x:v>2018-02-28T00:00:00.000Z</x:v>
      </x:c>
      <x:c r="D170" s="15" t="n">
        <x:v>16115</x:v>
      </x:c>
      <x:c r="E170" s="15" t="n">
        <x:v>346</x:v>
      </x:c>
      <x:c r="F170" s="15" t="n">
        <x:v>251480</x:v>
      </x:c>
      <x:c r="G170" s="15" t="n">
        <x:v>10062</x:v>
      </x:c>
    </x:row>
    <x:row r="171" ht="24" customHeight="1">
      <x:c r="A171" s="15" t="str">
        <x:v>blocks_30m</x:v>
      </x:c>
      <x:c r="B171" s="15" t="str">
        <x:v>excluded</x:v>
      </x:c>
      <x:c r="C171" s="18" t="d">
        <x:v>2018-03-01T00:00:00.000Z</x:v>
      </x:c>
      <x:c r="D171" s="15" t="n">
        <x:v>10842</x:v>
      </x:c>
      <x:c r="E171" s="15" t="n">
        <x:v>238</x:v>
      </x:c>
      <x:c r="F171" s="15" t="n">
        <x:v>207876</x:v>
      </x:c>
      <x:c r="G171" s="15" t="n">
        <x:v>11918</x:v>
      </x:c>
    </x:row>
    <x:row r="172" ht="24" customHeight="1">
      <x:c r="A172" s="15" t="str">
        <x:v>blocks_30m</x:v>
      </x:c>
      <x:c r="B172" s="15" t="str">
        <x:v>excluded</x:v>
      </x:c>
      <x:c r="C172" s="18" t="d">
        <x:v>2018-03-02T00:00:00.000Z</x:v>
      </x:c>
      <x:c r="D172" s="15" t="n">
        <x:v>9472</x:v>
      </x:c>
      <x:c r="E172" s="15" t="n">
        <x:v>78</x:v>
      </x:c>
      <x:c r="F172" s="15" t="n">
        <x:v>150988</x:v>
      </x:c>
      <x:c r="G172" s="15" t="n">
        <x:v>7106</x:v>
      </x:c>
    </x:row>
    <x:row r="173" ht="24" customHeight="1">
      <x:c r="A173" s="15" t="str">
        <x:v>blocks_60m</x:v>
      </x:c>
      <x:c r="B173" s="15" t="str">
        <x:v>train</x:v>
      </x:c>
      <x:c r="C173" s="18" t="d">
        <x:v>2018-02-14T00:00:00.000Z</x:v>
      </x:c>
      <x:c r="D173" s="15" t="n">
        <x:v>116536</x:v>
      </x:c>
      <x:c r="E173" s="15" t="n">
        <x:v>77</x:v>
      </x:c>
      <x:c r="F173" s="15" t="n">
        <x:v>1560519</x:v>
      </x:c>
      <x:c r="G173" s="15" t="n">
        <x:v>322954</x:v>
      </x:c>
    </x:row>
    <x:row r="174" ht="24" customHeight="1">
      <x:c r="A174" s="15" t="str">
        <x:v>blocks_60m</x:v>
      </x:c>
      <x:c r="B174" s="15" t="str">
        <x:v>train</x:v>
      </x:c>
      <x:c r="C174" s="18" t="d">
        <x:v>2018-02-15T00:00:00.000Z</x:v>
      </x:c>
      <x:c r="D174" s="15" t="n">
        <x:v>38942</x:v>
      </x:c>
      <x:c r="E174" s="15" t="n">
        <x:v>2</x:v>
      </x:c>
      <x:c r="F174" s="15" t="n">
        <x:v>435870</x:v>
      </x:c>
      <x:c r="G174" s="15" t="n">
        <x:v>2072</x:v>
      </x:c>
    </x:row>
    <x:row r="175" ht="24" customHeight="1">
      <x:c r="A175" s="15" t="str">
        <x:v>blocks_60m</x:v>
      </x:c>
      <x:c r="B175" s="15" t="str">
        <x:v>train</x:v>
      </x:c>
      <x:c r="C175" s="18" t="d">
        <x:v>2018-02-16T00:00:00.000Z</x:v>
      </x:c>
      <x:c r="D175" s="15" t="n">
        <x:v>49688</x:v>
      </x:c>
      <x:c r="E175" s="15" t="n">
        <x:v>3</x:v>
      </x:c>
      <x:c r="F175" s="15" t="n">
        <x:v>650641</x:v>
      </x:c>
      <x:c r="G175" s="15" t="n">
        <x:v>7100</x:v>
      </x:c>
    </x:row>
    <x:row r="176" ht="24" customHeight="1">
      <x:c r="A176" s="15" t="str">
        <x:v>blocks_60m</x:v>
      </x:c>
      <x:c r="B176" s="15" t="str">
        <x:v>train</x:v>
      </x:c>
      <x:c r="C176" s="18" t="d">
        <x:v>2018-02-20T00:00:00.000Z</x:v>
      </x:c>
      <x:c r="D176" s="15" t="n">
        <x:v>78303</x:v>
      </x:c>
      <x:c r="E176" s="15" t="n">
        <x:v>181</x:v>
      </x:c>
      <x:c r="F176" s="15" t="n">
        <x:v>876482</x:v>
      </x:c>
      <x:c r="G176" s="15" t="n">
        <x:v>62819</x:v>
      </x:c>
    </x:row>
    <x:row r="177" ht="24" customHeight="1">
      <x:c r="A177" s="15" t="str">
        <x:v>blocks_60m</x:v>
      </x:c>
      <x:c r="B177" s="15" t="str">
        <x:v>train</x:v>
      </x:c>
      <x:c r="C177" s="18" t="d">
        <x:v>2018-02-21T00:00:00.000Z</x:v>
      </x:c>
      <x:c r="D177" s="15" t="n">
        <x:v>104601</x:v>
      </x:c>
      <x:c r="E177" s="15" t="n">
        <x:v>218</x:v>
      </x:c>
      <x:c r="F177" s="15" t="n">
        <x:v>1279743</x:v>
      </x:c>
      <x:c r="G177" s="15" t="n">
        <x:v>56982</x:v>
      </x:c>
    </x:row>
    <x:row r="178" ht="24" customHeight="1">
      <x:c r="A178" s="15" t="str">
        <x:v>blocks_60m</x:v>
      </x:c>
      <x:c r="B178" s="15" t="str">
        <x:v>train</x:v>
      </x:c>
      <x:c r="C178" s="18" t="d">
        <x:v>2018-02-22T00:00:00.000Z</x:v>
      </x:c>
      <x:c r="D178" s="15" t="n">
        <x:v>77656</x:v>
      </x:c>
      <x:c r="E178" s="15" t="n">
        <x:v>804</x:v>
      </x:c>
      <x:c r="F178" s="15" t="n">
        <x:v>1006455</x:v>
      </x:c>
      <x:c r="G178" s="15" t="n">
        <x:v>1214</x:v>
      </x:c>
    </x:row>
    <x:row r="179" ht="24" customHeight="1">
      <x:c r="A179" s="15" t="str">
        <x:v>blocks_60m</x:v>
      </x:c>
      <x:c r="B179" s="15" t="str">
        <x:v>train</x:v>
      </x:c>
      <x:c r="C179" s="18" t="d">
        <x:v>2018-02-23T00:00:00.000Z</x:v>
      </x:c>
      <x:c r="D179" s="15" t="n">
        <x:v>78741</x:v>
      </x:c>
      <x:c r="E179" s="15" t="n">
        <x:v>0</x:v>
      </x:c>
      <x:c r="F179" s="15" t="n">
        <x:v>992016</x:v>
      </x:c>
      <x:c r="G179" s="15" t="n">
        <x:v>0</x:v>
      </x:c>
    </x:row>
    <x:row r="180" ht="24" customHeight="1">
      <x:c r="A180" s="15" t="str">
        <x:v>blocks_60m</x:v>
      </x:c>
      <x:c r="B180" s="15" t="str">
        <x:v>train</x:v>
      </x:c>
      <x:c r="C180" s="18" t="d">
        <x:v>2018-02-27T00:00:00.000Z</x:v>
      </x:c>
      <x:c r="D180" s="15" t="n">
        <x:v>294</x:v>
      </x:c>
      <x:c r="E180" s="15" t="n">
        <x:v>0</x:v>
      </x:c>
      <x:c r="F180" s="15" t="n">
        <x:v>693</x:v>
      </x:c>
      <x:c r="G180" s="15" t="n">
        <x:v>0</x:v>
      </x:c>
    </x:row>
    <x:row r="181" ht="24" customHeight="1">
      <x:c r="A181" s="15" t="str">
        <x:v>blocks_60m</x:v>
      </x:c>
      <x:c r="B181" s="15" t="str">
        <x:v>train</x:v>
      </x:c>
      <x:c r="C181" s="18" t="d">
        <x:v>2018-02-28T00:00:00.000Z</x:v>
      </x:c>
      <x:c r="D181" s="15" t="n">
        <x:v>114570</x:v>
      </x:c>
      <x:c r="E181" s="15" t="n">
        <x:v>2391</x:v>
      </x:c>
      <x:c r="F181" s="15" t="n">
        <x:v>1381045</x:v>
      </x:c>
      <x:c r="G181" s="15" t="n">
        <x:v>66345</x:v>
      </x:c>
    </x:row>
    <x:row r="182" ht="24" customHeight="1">
      <x:c r="A182" s="15" t="str">
        <x:v>blocks_60m</x:v>
      </x:c>
      <x:c r="B182" s="15" t="str">
        <x:v>train</x:v>
      </x:c>
      <x:c r="C182" s="18" t="d">
        <x:v>2018-03-01T00:00:00.000Z</x:v>
      </x:c>
      <x:c r="D182" s="15" t="n">
        <x:v>86102</x:v>
      </x:c>
      <x:c r="E182" s="15" t="n">
        <x:v>2077</x:v>
      </x:c>
      <x:c r="F182" s="15" t="n">
        <x:v>1198906</x:v>
      </x:c>
      <x:c r="G182" s="15" t="n">
        <x:v>75576</x:v>
      </x:c>
    </x:row>
    <x:row r="183" ht="24" customHeight="1">
      <x:c r="A183" s="15" t="str">
        <x:v>blocks_60m</x:v>
      </x:c>
      <x:c r="B183" s="15" t="str">
        <x:v>train</x:v>
      </x:c>
      <x:c r="C183" s="18" t="d">
        <x:v>2018-03-02T00:00:00.000Z</x:v>
      </x:c>
      <x:c r="D183" s="15" t="n">
        <x:v>117147</x:v>
      </x:c>
      <x:c r="E183" s="15" t="n">
        <x:v>1254</x:v>
      </x:c>
      <x:c r="F183" s="15" t="n">
        <x:v>1561614</x:v>
      </x:c>
      <x:c r="G183" s="15" t="n">
        <x:v>189320</x:v>
      </x:c>
    </x:row>
    <x:row r="184" ht="24" customHeight="1">
      <x:c r="A184" s="15" t="str">
        <x:v>blocks_60m</x:v>
      </x:c>
      <x:c r="B184" s="15" t="str">
        <x:v>validation</x:v>
      </x:c>
      <x:c r="C184" s="18" t="d">
        <x:v>2018-02-14T00:00:00.000Z</x:v>
      </x:c>
      <x:c r="D184" s="15" t="n">
        <x:v>23677</x:v>
      </x:c>
      <x:c r="E184" s="15" t="n">
        <x:v>34</x:v>
      </x:c>
      <x:c r="F184" s="15" t="n">
        <x:v>494685</x:v>
      </x:c>
      <x:c r="G184" s="15" t="n">
        <x:v>225680</x:v>
      </x:c>
    </x:row>
    <x:row r="185" ht="24" customHeight="1">
      <x:c r="A185" s="15" t="str">
        <x:v>blocks_60m</x:v>
      </x:c>
      <x:c r="B185" s="15" t="str">
        <x:v>validation</x:v>
      </x:c>
      <x:c r="C185" s="18" t="d">
        <x:v>2018-02-15T00:00:00.000Z</x:v>
      </x:c>
      <x:c r="D185" s="15" t="n">
        <x:v>22529</x:v>
      </x:c>
      <x:c r="E185" s="15" t="n">
        <x:v>0</x:v>
      </x:c>
      <x:c r="F185" s="15" t="n">
        <x:v>279764</x:v>
      </x:c>
      <x:c r="G185" s="15" t="n">
        <x:v>0</x:v>
      </x:c>
    </x:row>
    <x:row r="186" ht="24" customHeight="1">
      <x:c r="A186" s="15" t="str">
        <x:v>blocks_60m</x:v>
      </x:c>
      <x:c r="B186" s="15" t="str">
        <x:v>validation</x:v>
      </x:c>
      <x:c r="C186" s="18" t="d">
        <x:v>2018-02-16T00:00:00.000Z</x:v>
      </x:c>
      <x:c r="D186" s="15" t="n">
        <x:v>26388</x:v>
      </x:c>
      <x:c r="E186" s="15" t="n">
        <x:v>28</x:v>
      </x:c>
      <x:c r="F186" s="15" t="n">
        <x:v>386217</x:v>
      </x:c>
      <x:c r="G186" s="15" t="n">
        <x:v>91800</x:v>
      </x:c>
    </x:row>
    <x:row r="187" ht="24" customHeight="1">
      <x:c r="A187" s="15" t="str">
        <x:v>blocks_60m</x:v>
      </x:c>
      <x:c r="B187" s="15" t="str">
        <x:v>validation</x:v>
      </x:c>
      <x:c r="C187" s="18" t="d">
        <x:v>2018-02-20T00:00:00.000Z</x:v>
      </x:c>
      <x:c r="D187" s="15" t="n">
        <x:v>45451</x:v>
      </x:c>
      <x:c r="E187" s="15" t="n">
        <x:v>260</x:v>
      </x:c>
      <x:c r="F187" s="15" t="n">
        <x:v>659622</x:v>
      </x:c>
      <x:c r="G187" s="15" t="n">
        <x:v>202378</x:v>
      </x:c>
    </x:row>
    <x:row r="188" ht="24" customHeight="1">
      <x:c r="A188" s="15" t="str">
        <x:v>blocks_60m</x:v>
      </x:c>
      <x:c r="B188" s="15" t="str">
        <x:v>validation</x:v>
      </x:c>
      <x:c r="C188" s="18" t="d">
        <x:v>2018-02-21T00:00:00.000Z</x:v>
      </x:c>
      <x:c r="D188" s="15" t="n">
        <x:v>23992</x:v>
      </x:c>
      <x:c r="E188" s="15" t="n">
        <x:v>285</x:v>
      </x:c>
      <x:c r="F188" s="15" t="n">
        <x:v>1167255</x:v>
      </x:c>
      <x:c r="G188" s="15" t="n">
        <x:v>919329</x:v>
      </x:c>
    </x:row>
    <x:row r="189" ht="24" customHeight="1">
      <x:c r="A189" s="15" t="str">
        <x:v>blocks_60m</x:v>
      </x:c>
      <x:c r="B189" s="15" t="str">
        <x:v>validation</x:v>
      </x:c>
      <x:c r="C189" s="18" t="d">
        <x:v>2018-02-22T00:00:00.000Z</x:v>
      </x:c>
      <x:c r="D189" s="15" t="n">
        <x:v>49826</x:v>
      </x:c>
      <x:c r="E189" s="15" t="n">
        <x:v>543</x:v>
      </x:c>
      <x:c r="F189" s="15" t="n">
        <x:v>625974</x:v>
      </x:c>
      <x:c r="G189" s="15" t="n">
        <x:v>764</x:v>
      </x:c>
    </x:row>
    <x:row r="190" ht="24" customHeight="1">
      <x:c r="A190" s="15" t="str">
        <x:v>blocks_60m</x:v>
      </x:c>
      <x:c r="B190" s="15" t="str">
        <x:v>validation</x:v>
      </x:c>
      <x:c r="C190" s="18" t="d">
        <x:v>2018-02-23T00:00:00.000Z</x:v>
      </x:c>
      <x:c r="D190" s="15" t="n">
        <x:v>38096</x:v>
      </x:c>
      <x:c r="E190" s="15" t="n">
        <x:v>0</x:v>
      </x:c>
      <x:c r="F190" s="15" t="n">
        <x:v>476048</x:v>
      </x:c>
      <x:c r="G190" s="15" t="n">
        <x:v>0</x:v>
      </x:c>
    </x:row>
    <x:row r="191" ht="24" customHeight="1">
      <x:c r="A191" s="15" t="str">
        <x:v>blocks_60m</x:v>
      </x:c>
      <x:c r="B191" s="15" t="str">
        <x:v>validation</x:v>
      </x:c>
      <x:c r="C191" s="18" t="d">
        <x:v>2018-02-27T00:00:00.000Z</x:v>
      </x:c>
      <x:c r="D191" s="15" t="n">
        <x:v>37</x:v>
      </x:c>
      <x:c r="E191" s="15" t="n">
        <x:v>0</x:v>
      </x:c>
      <x:c r="F191" s="15" t="n">
        <x:v>67</x:v>
      </x:c>
      <x:c r="G191" s="15" t="n">
        <x:v>0</x:v>
      </x:c>
    </x:row>
    <x:row r="192" ht="24" customHeight="1">
      <x:c r="A192" s="15" t="str">
        <x:v>blocks_60m</x:v>
      </x:c>
      <x:c r="B192" s="15" t="str">
        <x:v>validation</x:v>
      </x:c>
      <x:c r="C192" s="18" t="d">
        <x:v>2018-02-28T00:00:00.000Z</x:v>
      </x:c>
      <x:c r="D192" s="15" t="n">
        <x:v>16624</x:v>
      </x:c>
      <x:c r="E192" s="15" t="n">
        <x:v>254</x:v>
      </x:c>
      <x:c r="F192" s="15" t="n">
        <x:v>191460</x:v>
      </x:c>
      <x:c r="G192" s="15" t="n">
        <x:v>3498</x:v>
      </x:c>
    </x:row>
    <x:row r="193" ht="24" customHeight="1">
      <x:c r="A193" s="15" t="str">
        <x:v>blocks_60m</x:v>
      </x:c>
      <x:c r="B193" s="15" t="str">
        <x:v>validation</x:v>
      </x:c>
      <x:c r="C193" s="18" t="d">
        <x:v>2018-03-01T00:00:00.000Z</x:v>
      </x:c>
      <x:c r="D193" s="15" t="n">
        <x:v>8501</x:v>
      </x:c>
      <x:c r="E193" s="15" t="n">
        <x:v>106</x:v>
      </x:c>
      <x:c r="F193" s="15" t="n">
        <x:v>71219</x:v>
      </x:c>
      <x:c r="G193" s="15" t="n">
        <x:v>1087</x:v>
      </x:c>
    </x:row>
    <x:row r="194" ht="24" customHeight="1">
      <x:c r="A194" s="15" t="str">
        <x:v>blocks_60m</x:v>
      </x:c>
      <x:c r="B194" s="15" t="str">
        <x:v>validation</x:v>
      </x:c>
      <x:c r="C194" s="18" t="d">
        <x:v>2018-03-02T00:00:00.000Z</x:v>
      </x:c>
      <x:c r="D194" s="15" t="n">
        <x:v>18445</x:v>
      </x:c>
      <x:c r="E194" s="15" t="n">
        <x:v>116</x:v>
      </x:c>
      <x:c r="F194" s="15" t="n">
        <x:v>229688</x:v>
      </x:c>
      <x:c r="G194" s="15" t="n">
        <x:v>16794</x:v>
      </x:c>
    </x:row>
    <x:row r="195" ht="24" customHeight="1">
      <x:c r="A195" s="15" t="str">
        <x:v>blocks_60m</x:v>
      </x:c>
      <x:c r="B195" s="15" t="str">
        <x:v>test</x:v>
      </x:c>
      <x:c r="C195" s="18" t="d">
        <x:v>2018-02-15T00:00:00.000Z</x:v>
      </x:c>
      <x:c r="D195" s="15" t="n">
        <x:v>60652</x:v>
      </x:c>
      <x:c r="E195" s="15" t="n">
        <x:v>36</x:v>
      </x:c>
      <x:c r="F195" s="15" t="n">
        <x:v>843878</x:v>
      </x:c>
      <x:c r="G195" s="15" t="n">
        <x:v>93874</x:v>
      </x:c>
    </x:row>
    <x:row r="196" ht="24" customHeight="1">
      <x:c r="A196" s="15" t="str">
        <x:v>blocks_60m</x:v>
      </x:c>
      <x:c r="B196" s="15" t="str">
        <x:v>test</x:v>
      </x:c>
      <x:c r="C196" s="18" t="d">
        <x:v>2018-02-16T00:00:00.000Z</x:v>
      </x:c>
      <x:c r="D196" s="15" t="n">
        <x:v>39448</x:v>
      </x:c>
      <x:c r="E196" s="15" t="n">
        <x:v>6</x:v>
      </x:c>
      <x:c r="F196" s="15" t="n">
        <x:v>590609</x:v>
      </x:c>
      <x:c r="G196" s="15" t="n">
        <x:v>75640</x:v>
      </x:c>
    </x:row>
    <x:row r="197" ht="24" customHeight="1">
      <x:c r="A197" s="15" t="str">
        <x:v>blocks_60m</x:v>
      </x:c>
      <x:c r="B197" s="15" t="str">
        <x:v>test</x:v>
      </x:c>
      <x:c r="C197" s="18" t="d">
        <x:v>2018-02-20T00:00:00.000Z</x:v>
      </x:c>
      <x:c r="D197" s="15" t="n">
        <x:v>14511</x:v>
      </x:c>
      <x:c r="E197" s="15" t="n">
        <x:v>0</x:v>
      </x:c>
      <x:c r="F197" s="15" t="n">
        <x:v>148927</x:v>
      </x:c>
      <x:c r="G197" s="15" t="n">
        <x:v>0</x:v>
      </x:c>
    </x:row>
    <x:row r="198" ht="24" customHeight="1">
      <x:c r="A198" s="15" t="str">
        <x:v>blocks_60m</x:v>
      </x:c>
      <x:c r="B198" s="15" t="str">
        <x:v>test</x:v>
      </x:c>
      <x:c r="C198" s="18" t="d">
        <x:v>2018-02-21T00:00:00.000Z</x:v>
      </x:c>
      <x:c r="D198" s="15" t="n">
        <x:v>14964</x:v>
      </x:c>
      <x:c r="E198" s="15" t="n">
        <x:v>0</x:v>
      </x:c>
      <x:c r="F198" s="15" t="n">
        <x:v>114253</x:v>
      </x:c>
      <x:c r="G198" s="15" t="n">
        <x:v>0</x:v>
      </x:c>
    </x:row>
    <x:row r="199" ht="24" customHeight="1">
      <x:c r="A199" s="15" t="str">
        <x:v>blocks_60m</x:v>
      </x:c>
      <x:c r="B199" s="15" t="str">
        <x:v>test</x:v>
      </x:c>
      <x:c r="C199" s="18" t="d">
        <x:v>2018-02-22T00:00:00.000Z</x:v>
      </x:c>
      <x:c r="D199" s="15" t="n">
        <x:v>24199</x:v>
      </x:c>
      <x:c r="E199" s="15" t="n">
        <x:v>289</x:v>
      </x:c>
      <x:c r="F199" s="15" t="n">
        <x:v>299689</x:v>
      </x:c>
      <x:c r="G199" s="15" t="n">
        <x:v>460</x:v>
      </x:c>
    </x:row>
    <x:row r="200" ht="24" customHeight="1">
      <x:c r="A200" s="15" t="str">
        <x:v>blocks_60m</x:v>
      </x:c>
      <x:c r="B200" s="15" t="str">
        <x:v>test</x:v>
      </x:c>
      <x:c r="C200" s="18" t="d">
        <x:v>2018-02-23T00:00:00.000Z</x:v>
      </x:c>
      <x:c r="D200" s="15" t="n">
        <x:v>28392</x:v>
      </x:c>
      <x:c r="E200" s="15" t="n">
        <x:v>0</x:v>
      </x:c>
      <x:c r="F200" s="15" t="n">
        <x:v>365262</x:v>
      </x:c>
      <x:c r="G200" s="15" t="n">
        <x:v>0</x:v>
      </x:c>
    </x:row>
    <x:row r="201" ht="24" customHeight="1">
      <x:c r="A201" s="15" t="str">
        <x:v>blocks_60m</x:v>
      </x:c>
      <x:c r="B201" s="15" t="str">
        <x:v>test</x:v>
      </x:c>
      <x:c r="C201" s="18" t="d">
        <x:v>2018-02-27T00:00:00.000Z</x:v>
      </x:c>
      <x:c r="D201" s="15" t="n">
        <x:v>18</x:v>
      </x:c>
      <x:c r="E201" s="15" t="n">
        <x:v>0</x:v>
      </x:c>
      <x:c r="F201" s="15" t="n">
        <x:v>25</x:v>
      </x:c>
      <x:c r="G201" s="15" t="n">
        <x:v>0</x:v>
      </x:c>
    </x:row>
    <x:row r="202" ht="24" customHeight="1">
      <x:c r="A202" s="15" t="str">
        <x:v>blocks_60m</x:v>
      </x:c>
      <x:c r="B202" s="15" t="str">
        <x:v>test</x:v>
      </x:c>
      <x:c r="C202" s="18" t="d">
        <x:v>2018-02-28T00:00:00.000Z</x:v>
      </x:c>
      <x:c r="D202" s="15" t="n">
        <x:v>27415</x:v>
      </x:c>
      <x:c r="E202" s="15" t="n">
        <x:v>488</x:v>
      </x:c>
      <x:c r="F202" s="15" t="n">
        <x:v>364793</x:v>
      </x:c>
      <x:c r="G202" s="15" t="n">
        <x:v>11386</x:v>
      </x:c>
    </x:row>
    <x:row r="203" ht="24" customHeight="1">
      <x:c r="A203" s="15" t="str">
        <x:v>blocks_60m</x:v>
      </x:c>
      <x:c r="B203" s="15" t="str">
        <x:v>test</x:v>
      </x:c>
      <x:c r="C203" s="18" t="d">
        <x:v>2018-03-01T00:00:00.000Z</x:v>
      </x:c>
      <x:c r="D203" s="15" t="n">
        <x:v>65078</x:v>
      </x:c>
      <x:c r="E203" s="15" t="n">
        <x:v>1082</x:v>
      </x:c>
      <x:c r="F203" s="15" t="n">
        <x:v>802512</x:v>
      </x:c>
      <x:c r="G203" s="15" t="n">
        <x:v>24127</x:v>
      </x:c>
    </x:row>
    <x:row r="204" ht="24" customHeight="1">
      <x:c r="A204" s="15" t="str">
        <x:v>blocks_60m</x:v>
      </x:c>
      <x:c r="B204" s="15" t="str">
        <x:v>excluded</x:v>
      </x:c>
      <x:c r="C204" s="18" t="d">
        <x:v>2018-02-14T00:00:00.000Z</x:v>
      </x:c>
      <x:c r="D204" s="15" t="n">
        <x:v>3317</x:v>
      </x:c>
      <x:c r="E204" s="15" t="n">
        <x:v>4</x:v>
      </x:c>
      <x:c r="F204" s="15" t="n">
        <x:v>83634</x:v>
      </x:c>
      <x:c r="G204" s="15" t="n">
        <x:v>26560</x:v>
      </x:c>
    </x:row>
    <x:row r="205" ht="24" customHeight="1">
      <x:c r="A205" s="15" t="str">
        <x:v>blocks_60m</x:v>
      </x:c>
      <x:c r="B205" s="15" t="str">
        <x:v>excluded</x:v>
      </x:c>
      <x:c r="C205" s="18" t="d">
        <x:v>2018-02-15T00:00:00.000Z</x:v>
      </x:c>
      <x:c r="D205" s="15" t="n">
        <x:v>6597</x:v>
      </x:c>
      <x:c r="E205" s="15" t="n">
        <x:v>1</x:v>
      </x:c>
      <x:c r="F205" s="15" t="n">
        <x:v>105809</x:v>
      </x:c>
      <x:c r="G205" s="15" t="n">
        <x:v>1394</x:v>
      </x:c>
    </x:row>
    <x:row r="206" ht="24" customHeight="1">
      <x:c r="A206" s="15" t="str">
        <x:v>blocks_60m</x:v>
      </x:c>
      <x:c r="B206" s="15" t="str">
        <x:v>excluded</x:v>
      </x:c>
      <x:c r="C206" s="18" t="d">
        <x:v>2018-02-16T00:00:00.000Z</x:v>
      </x:c>
      <x:c r="D206" s="15" t="n">
        <x:v>7263</x:v>
      </x:c>
      <x:c r="E206" s="15" t="n">
        <x:v>5</x:v>
      </x:c>
      <x:c r="F206" s="15" t="n">
        <x:v>156662</x:v>
      </x:c>
      <x:c r="G206" s="15" t="n">
        <x:v>31086</x:v>
      </x:c>
    </x:row>
    <x:row r="207" ht="24" customHeight="1">
      <x:c r="A207" s="15" t="str">
        <x:v>blocks_60m</x:v>
      </x:c>
      <x:c r="B207" s="15" t="str">
        <x:v>excluded</x:v>
      </x:c>
      <x:c r="C207" s="18" t="d">
        <x:v>2018-02-20T00:00:00.000Z</x:v>
      </x:c>
      <x:c r="D207" s="15" t="n">
        <x:v>8240</x:v>
      </x:c>
      <x:c r="E207" s="15" t="n">
        <x:v>30</x:v>
      </x:c>
      <x:c r="F207" s="15" t="n">
        <x:v>144828</x:v>
      </x:c>
      <x:c r="G207" s="15" t="n">
        <x:v>23392</x:v>
      </x:c>
    </x:row>
    <x:row r="208" ht="24" customHeight="1">
      <x:c r="A208" s="15" t="str">
        <x:v>blocks_60m</x:v>
      </x:c>
      <x:c r="B208" s="15" t="str">
        <x:v>excluded</x:v>
      </x:c>
      <x:c r="C208" s="18" t="d">
        <x:v>2018-02-21T00:00:00.000Z</x:v>
      </x:c>
      <x:c r="D208" s="15" t="n">
        <x:v>5584</x:v>
      </x:c>
      <x:c r="E208" s="15" t="n">
        <x:v>25</x:v>
      </x:c>
      <x:c r="F208" s="15" t="n">
        <x:v>151552</x:v>
      </x:c>
      <x:c r="G208" s="15" t="n">
        <x:v>59450</x:v>
      </x:c>
    </x:row>
    <x:row r="209" ht="24" customHeight="1">
      <x:c r="A209" s="15" t="str">
        <x:v>blocks_60m</x:v>
      </x:c>
      <x:c r="B209" s="15" t="str">
        <x:v>excluded</x:v>
      </x:c>
      <x:c r="C209" s="18" t="d">
        <x:v>2018-02-22T00:00:00.000Z</x:v>
      </x:c>
      <x:c r="D209" s="15" t="n">
        <x:v>6628</x:v>
      </x:c>
      <x:c r="E209" s="15" t="n">
        <x:v>66</x:v>
      </x:c>
      <x:c r="F209" s="15" t="n">
        <x:v>108010</x:v>
      </x:c>
      <x:c r="G209" s="15" t="n">
        <x:v>100</x:v>
      </x:c>
    </x:row>
    <x:row r="210" ht="24" customHeight="1">
      <x:c r="A210" s="15" t="str">
        <x:v>blocks_60m</x:v>
      </x:c>
      <x:c r="B210" s="15" t="str">
        <x:v>excluded</x:v>
      </x:c>
      <x:c r="C210" s="18" t="d">
        <x:v>2018-02-23T00:00:00.000Z</x:v>
      </x:c>
      <x:c r="D210" s="15" t="n">
        <x:v>5220</x:v>
      </x:c>
      <x:c r="E210" s="15" t="n">
        <x:v>0</x:v>
      </x:c>
      <x:c r="F210" s="15" t="n">
        <x:v>99676</x:v>
      </x:c>
      <x:c r="G210" s="15" t="n">
        <x:v>0</x:v>
      </x:c>
    </x:row>
    <x:row r="211" ht="24" customHeight="1">
      <x:c r="A211" s="15" t="str">
        <x:v>blocks_60m</x:v>
      </x:c>
      <x:c r="B211" s="15" t="str">
        <x:v>excluded</x:v>
      </x:c>
      <x:c r="C211" s="18" t="d">
        <x:v>2018-02-27T00:00:00.000Z</x:v>
      </x:c>
      <x:c r="D211" s="15" t="n">
        <x:v>27</x:v>
      </x:c>
      <x:c r="E211" s="15" t="n">
        <x:v>0</x:v>
      </x:c>
      <x:c r="F211" s="15" t="n">
        <x:v>43</x:v>
      </x:c>
      <x:c r="G211" s="15" t="n">
        <x:v>0</x:v>
      </x:c>
    </x:row>
    <x:row r="212" ht="24" customHeight="1">
      <x:c r="A212" s="15" t="str">
        <x:v>blocks_60m</x:v>
      </x:c>
      <x:c r="B212" s="15" t="str">
        <x:v>excluded</x:v>
      </x:c>
      <x:c r="C212" s="18" t="d">
        <x:v>2018-02-28T00:00:00.000Z</x:v>
      </x:c>
      <x:c r="D212" s="15" t="n">
        <x:v>5990</x:v>
      </x:c>
      <x:c r="E212" s="15" t="n">
        <x:v>128</x:v>
      </x:c>
      <x:c r="F212" s="15" t="n">
        <x:v>95429</x:v>
      </x:c>
      <x:c r="G212" s="15" t="n">
        <x:v>3098</x:v>
      </x:c>
    </x:row>
    <x:row r="213" ht="24" customHeight="1">
      <x:c r="A213" s="15" t="str">
        <x:v>blocks_60m</x:v>
      </x:c>
      <x:c r="B213" s="15" t="str">
        <x:v>excluded</x:v>
      </x:c>
      <x:c r="C213" s="18" t="d">
        <x:v>2018-03-01T00:00:00.000Z</x:v>
      </x:c>
      <x:c r="D213" s="15" t="n">
        <x:v>4552</x:v>
      </x:c>
      <x:c r="E213" s="15" t="n">
        <x:v>108</x:v>
      </x:c>
      <x:c r="F213" s="15" t="n">
        <x:v>74896</x:v>
      </x:c>
      <x:c r="G213" s="15" t="n">
        <x:v>3035</x:v>
      </x:c>
    </x:row>
    <x:row r="214" ht="24" customHeight="1">
      <x:c r="A214" s="15" t="str">
        <x:v>blocks_60m</x:v>
      </x:c>
      <x:c r="B214" s="15" t="str">
        <x:v>excluded</x:v>
      </x:c>
      <x:c r="C214" s="18" t="d">
        <x:v>2018-03-02T00:00:00.000Z</x:v>
      </x:c>
      <x:c r="D214" s="15" t="n">
        <x:v>2424</x:v>
      </x:c>
      <x:c r="E214" s="15" t="n">
        <x:v>17</x:v>
      </x:c>
      <x:c r="F214" s="15" t="n">
        <x:v>39059</x:v>
      </x:c>
      <x:c r="G214" s="15" t="n">
        <x:v>1589</x:v>
      </x:c>
    </x:row>
    <x:row r="215" ht="24" customHeight="1">
      <x:c r="A215" s="15" t="str">
        <x:v>guarded_30m</x:v>
      </x:c>
      <x:c r="B215" s="15" t="str">
        <x:v>train</x:v>
      </x:c>
      <x:c r="C215" s="18" t="d">
        <x:v>2018-02-14T00:00:00.000Z</x:v>
      </x:c>
      <x:c r="D215" s="15" t="n">
        <x:v>126576</x:v>
      </x:c>
      <x:c r="E215" s="15" t="n">
        <x:v>115</x:v>
      </x:c>
      <x:c r="F215" s="15" t="n">
        <x:v>1971116</x:v>
      </x:c>
      <x:c r="G215" s="15" t="n">
        <x:v>575194</x:v>
      </x:c>
    </x:row>
    <x:row r="216" ht="24" customHeight="1">
      <x:c r="A216" s="15" t="str">
        <x:v>guarded_30m</x:v>
      </x:c>
      <x:c r="B216" s="15" t="str">
        <x:v>train</x:v>
      </x:c>
      <x:c r="C216" s="18" t="d">
        <x:v>2018-02-15T00:00:00.000Z</x:v>
      </x:c>
      <x:c r="D216" s="15" t="n">
        <x:v>69105</x:v>
      </x:c>
      <x:c r="E216" s="15" t="n">
        <x:v>39</x:v>
      </x:c>
      <x:c r="F216" s="15" t="n">
        <x:v>956882</x:v>
      </x:c>
      <x:c r="G216" s="15" t="n">
        <x:v>97340</x:v>
      </x:c>
    </x:row>
    <x:row r="217" ht="24" customHeight="1">
      <x:c r="A217" s="15" t="str">
        <x:v>guarded_30m</x:v>
      </x:c>
      <x:c r="B217" s="15" t="str">
        <x:v>train</x:v>
      </x:c>
      <x:c r="C217" s="18" t="d">
        <x:v>2018-02-16T00:00:00.000Z</x:v>
      </x:c>
      <x:c r="D217" s="15" t="n">
        <x:v>71382</x:v>
      </x:c>
      <x:c r="E217" s="15" t="n">
        <x:v>39</x:v>
      </x:c>
      <x:c r="F217" s="15" t="n">
        <x:v>1101615</x:v>
      </x:c>
      <x:c r="G217" s="15" t="n">
        <x:v>181190</x:v>
      </x:c>
    </x:row>
    <x:row r="218" ht="24" customHeight="1">
      <x:c r="A218" s="15" t="str">
        <x:v>guarded_30m</x:v>
      </x:c>
      <x:c r="B218" s="15" t="str">
        <x:v>train</x:v>
      </x:c>
      <x:c r="C218" s="18" t="d">
        <x:v>2018-02-20T00:00:00.000Z</x:v>
      </x:c>
      <x:c r="D218" s="15" t="n">
        <x:v>69654</x:v>
      </x:c>
      <x:c r="E218" s="15" t="n">
        <x:v>66</x:v>
      </x:c>
      <x:c r="F218" s="15" t="n">
        <x:v>697009</x:v>
      </x:c>
      <x:c r="G218" s="15" t="n">
        <x:v>2029</x:v>
      </x:c>
    </x:row>
    <x:row r="219" ht="24" customHeight="1">
      <x:c r="A219" s="15" t="str">
        <x:v>guarded_30m</x:v>
      </x:c>
      <x:c r="B219" s="15" t="str">
        <x:v>train</x:v>
      </x:c>
      <x:c r="C219" s="18" t="d">
        <x:v>2018-02-21T00:00:00.000Z</x:v>
      </x:c>
      <x:c r="D219" s="15" t="n">
        <x:v>80194</x:v>
      </x:c>
      <x:c r="E219" s="15" t="n">
        <x:v>340</x:v>
      </x:c>
      <x:c r="F219" s="15" t="n">
        <x:v>1901541</x:v>
      </x:c>
      <x:c r="G219" s="15" t="n">
        <x:v>1032311</x:v>
      </x:c>
    </x:row>
    <x:row r="220" ht="24" customHeight="1">
      <x:c r="A220" s="15" t="str">
        <x:v>guarded_30m</x:v>
      </x:c>
      <x:c r="B220" s="15" t="str">
        <x:v>train</x:v>
      </x:c>
      <x:c r="C220" s="18" t="d">
        <x:v>2018-02-22T00:00:00.000Z</x:v>
      </x:c>
      <x:c r="D220" s="15" t="n">
        <x:v>157359</x:v>
      </x:c>
      <x:c r="E220" s="15" t="n">
        <x:v>1695</x:v>
      </x:c>
      <x:c r="F220" s="15" t="n">
        <x:v>2026820</x:v>
      </x:c>
      <x:c r="G220" s="15" t="n">
        <x:v>2528</x:v>
      </x:c>
    </x:row>
    <x:row r="221" ht="24" customHeight="1">
      <x:c r="A221" s="15" t="str">
        <x:v>guarded_30m</x:v>
      </x:c>
      <x:c r="B221" s="15" t="str">
        <x:v>train</x:v>
      </x:c>
      <x:c r="C221" s="18" t="d">
        <x:v>2018-02-23T00:00:00.000Z</x:v>
      </x:c>
      <x:c r="D221" s="15" t="n">
        <x:v>124668</x:v>
      </x:c>
      <x:c r="E221" s="15" t="n">
        <x:v>0</x:v>
      </x:c>
      <x:c r="F221" s="15" t="n">
        <x:v>1594974</x:v>
      </x:c>
      <x:c r="G221" s="15" t="n">
        <x:v>0</x:v>
      </x:c>
    </x:row>
    <x:row r="222" ht="24" customHeight="1">
      <x:c r="A222" s="15" t="str">
        <x:v>guarded_30m</x:v>
      </x:c>
      <x:c r="B222" s="15" t="str">
        <x:v>train</x:v>
      </x:c>
      <x:c r="C222" s="18" t="d">
        <x:v>2018-02-27T00:00:00.000Z</x:v>
      </x:c>
      <x:c r="D222" s="15" t="n">
        <x:v>203</x:v>
      </x:c>
      <x:c r="E222" s="15" t="n">
        <x:v>0</x:v>
      </x:c>
      <x:c r="F222" s="15" t="n">
        <x:v>481</x:v>
      </x:c>
      <x:c r="G222" s="15" t="n">
        <x:v>0</x:v>
      </x:c>
    </x:row>
    <x:row r="223" ht="24" customHeight="1">
      <x:c r="A223" s="15" t="str">
        <x:v>guarded_30m</x:v>
      </x:c>
      <x:c r="B223" s="15" t="str">
        <x:v>train</x:v>
      </x:c>
      <x:c r="C223" s="18" t="d">
        <x:v>2018-02-28T00:00:00.000Z</x:v>
      </x:c>
      <x:c r="D223" s="15" t="n">
        <x:v>656</x:v>
      </x:c>
      <x:c r="E223" s="15" t="n">
        <x:v>0</x:v>
      </x:c>
      <x:c r="F223" s="15" t="n">
        <x:v>1788</x:v>
      </x:c>
      <x:c r="G223" s="15" t="n">
        <x:v>0</x:v>
      </x:c>
    </x:row>
    <x:row r="224" ht="24" customHeight="1">
      <x:c r="A224" s="15" t="str">
        <x:v>guarded_30m</x:v>
      </x:c>
      <x:c r="B224" s="15" t="str">
        <x:v>train</x:v>
      </x:c>
      <x:c r="C224" s="18" t="d">
        <x:v>2018-03-01T00:00:00.000Z</x:v>
      </x:c>
      <x:c r="D224" s="15" t="n">
        <x:v>163076</x:v>
      </x:c>
      <x:c r="E224" s="15" t="n">
        <x:v>3371</x:v>
      </x:c>
      <x:c r="F224" s="15" t="n">
        <x:v>2132036</x:v>
      </x:c>
      <x:c r="G224" s="15" t="n">
        <x:v>103783</x:v>
      </x:c>
    </x:row>
    <x:row r="225" ht="24" customHeight="1">
      <x:c r="A225" s="15" t="str">
        <x:v>guarded_30m</x:v>
      </x:c>
      <x:c r="B225" s="15" t="str">
        <x:v>train</x:v>
      </x:c>
      <x:c r="C225" s="18" t="d">
        <x:v>2018-03-02T00:00:00.000Z</x:v>
      </x:c>
      <x:c r="D225" s="15" t="n">
        <x:v>9777</x:v>
      </x:c>
      <x:c r="E225" s="15" t="n">
        <x:v>0</x:v>
      </x:c>
      <x:c r="F225" s="15" t="n">
        <x:v>113676</x:v>
      </x:c>
      <x:c r="G225" s="15" t="n">
        <x:v>0</x:v>
      </x:c>
    </x:row>
    <x:row r="226" ht="24" customHeight="1">
      <x:c r="A226" s="15" t="str">
        <x:v>guarded_30m</x:v>
      </x:c>
      <x:c r="B226" s="15" t="str">
        <x:v>validation</x:v>
      </x:c>
      <x:c r="C226" s="18" t="d">
        <x:v>2018-02-14T00:00:00.000Z</x:v>
      </x:c>
      <x:c r="D226" s="15" t="n">
        <x:v>7284</x:v>
      </x:c>
      <x:c r="E226" s="15" t="n">
        <x:v>0</x:v>
      </x:c>
      <x:c r="F226" s="15" t="n">
        <x:v>71784</x:v>
      </x:c>
      <x:c r="G226" s="15" t="n">
        <x:v>0</x:v>
      </x:c>
    </x:row>
    <x:row r="227" ht="24" customHeight="1">
      <x:c r="A227" s="15" t="str">
        <x:v>guarded_30m</x:v>
      </x:c>
      <x:c r="B227" s="15" t="str">
        <x:v>validation</x:v>
      </x:c>
      <x:c r="C227" s="18" t="d">
        <x:v>2018-02-15T00:00:00.000Z</x:v>
      </x:c>
      <x:c r="D227" s="15" t="n">
        <x:v>36082</x:v>
      </x:c>
      <x:c r="E227" s="15" t="n">
        <x:v>0</x:v>
      </x:c>
      <x:c r="F227" s="15" t="n">
        <x:v>389491</x:v>
      </x:c>
      <x:c r="G227" s="15" t="n">
        <x:v>0</x:v>
      </x:c>
    </x:row>
    <x:row r="228" ht="24" customHeight="1">
      <x:c r="A228" s="15" t="str">
        <x:v>guarded_30m</x:v>
      </x:c>
      <x:c r="B228" s="15" t="str">
        <x:v>validation</x:v>
      </x:c>
      <x:c r="C228" s="18" t="d">
        <x:v>2018-02-16T00:00:00.000Z</x:v>
      </x:c>
      <x:c r="D228" s="15" t="n">
        <x:v>29712</x:v>
      </x:c>
      <x:c r="E228" s="15" t="n">
        <x:v>0</x:v>
      </x:c>
      <x:c r="F228" s="15" t="n">
        <x:v>332380</x:v>
      </x:c>
      <x:c r="G228" s="15" t="n">
        <x:v>0</x:v>
      </x:c>
    </x:row>
    <x:row r="229" ht="24" customHeight="1">
      <x:c r="A229" s="15" t="str">
        <x:v>guarded_30m</x:v>
      </x:c>
      <x:c r="B229" s="15" t="str">
        <x:v>validation</x:v>
      </x:c>
      <x:c r="C229" s="18" t="d">
        <x:v>2018-02-20T00:00:00.000Z</x:v>
      </x:c>
      <x:c r="D229" s="15" t="n">
        <x:v>36570</x:v>
      </x:c>
      <x:c r="E229" s="15" t="n">
        <x:v>0</x:v>
      </x:c>
      <x:c r="F229" s="15" t="n">
        <x:v>389250</x:v>
      </x:c>
      <x:c r="G229" s="15" t="n">
        <x:v>0</x:v>
      </x:c>
    </x:row>
    <x:row r="230" ht="24" customHeight="1">
      <x:c r="A230" s="15" t="str">
        <x:v>guarded_30m</x:v>
      </x:c>
      <x:c r="B230" s="15" t="str">
        <x:v>validation</x:v>
      </x:c>
      <x:c r="C230" s="18" t="d">
        <x:v>2018-02-21T00:00:00.000Z</x:v>
      </x:c>
      <x:c r="D230" s="15" t="n">
        <x:v>56102</x:v>
      </x:c>
      <x:c r="E230" s="15" t="n">
        <x:v>188</x:v>
      </x:c>
      <x:c r="F230" s="15" t="n">
        <x:v>624810</x:v>
      </x:c>
      <x:c r="G230" s="15" t="n">
        <x:v>3450</x:v>
      </x:c>
    </x:row>
    <x:row r="231" ht="24" customHeight="1">
      <x:c r="A231" s="15" t="str">
        <x:v>guarded_30m</x:v>
      </x:c>
      <x:c r="B231" s="15" t="str">
        <x:v>validation</x:v>
      </x:c>
      <x:c r="C231" s="18" t="d">
        <x:v>2018-02-22T00:00:00.000Z</x:v>
      </x:c>
      <x:c r="D231" s="15" t="n">
        <x:v>226</x:v>
      </x:c>
      <x:c r="E231" s="15" t="n">
        <x:v>0</x:v>
      </x:c>
      <x:c r="F231" s="15" t="n">
        <x:v>684</x:v>
      </x:c>
      <x:c r="G231" s="15" t="n">
        <x:v>0</x:v>
      </x:c>
    </x:row>
    <x:row r="232" ht="24" customHeight="1">
      <x:c r="A232" s="15" t="str">
        <x:v>guarded_30m</x:v>
      </x:c>
      <x:c r="B232" s="15" t="str">
        <x:v>validation</x:v>
      </x:c>
      <x:c r="C232" s="18" t="d">
        <x:v>2018-02-23T00:00:00.000Z</x:v>
      </x:c>
      <x:c r="D232" s="15" t="n">
        <x:v>14316</x:v>
      </x:c>
      <x:c r="E232" s="15" t="n">
        <x:v>0</x:v>
      </x:c>
      <x:c r="F232" s="15" t="n">
        <x:v>160016</x:v>
      </x:c>
      <x:c r="G232" s="15" t="n">
        <x:v>0</x:v>
      </x:c>
    </x:row>
    <x:row r="233" ht="24" customHeight="1">
      <x:c r="A233" s="15" t="str">
        <x:v>guarded_30m</x:v>
      </x:c>
      <x:c r="B233" s="15" t="str">
        <x:v>validation</x:v>
      </x:c>
      <x:c r="C233" s="18" t="d">
        <x:v>2018-02-27T00:00:00.000Z</x:v>
      </x:c>
      <x:c r="D233" s="15" t="n">
        <x:v>44</x:v>
      </x:c>
      <x:c r="E233" s="15" t="n">
        <x:v>0</x:v>
      </x:c>
      <x:c r="F233" s="15" t="n">
        <x:v>64</x:v>
      </x:c>
      <x:c r="G233" s="15" t="n">
        <x:v>0</x:v>
      </x:c>
    </x:row>
    <x:row r="234" ht="24" customHeight="1">
      <x:c r="A234" s="15" t="str">
        <x:v>guarded_30m</x:v>
      </x:c>
      <x:c r="B234" s="15" t="str">
        <x:v>validation</x:v>
      </x:c>
      <x:c r="C234" s="18" t="d">
        <x:v>2018-02-28T00:00:00.000Z</x:v>
      </x:c>
      <x:c r="D234" s="15" t="n">
        <x:v>428</x:v>
      </x:c>
      <x:c r="E234" s="15" t="n">
        <x:v>0</x:v>
      </x:c>
      <x:c r="F234" s="15" t="n">
        <x:v>1497</x:v>
      </x:c>
      <x:c r="G234" s="15" t="n">
        <x:v>0</x:v>
      </x:c>
    </x:row>
    <x:row r="235" ht="24" customHeight="1">
      <x:c r="A235" s="15" t="str">
        <x:v>guarded_30m</x:v>
      </x:c>
      <x:c r="B235" s="15" t="str">
        <x:v>validation</x:v>
      </x:c>
      <x:c r="C235" s="18" t="d">
        <x:v>2018-03-01T00:00:00.000Z</x:v>
      </x:c>
      <x:c r="D235" s="15" t="n">
        <x:v>657</x:v>
      </x:c>
      <x:c r="E235" s="15" t="n">
        <x:v>0</x:v>
      </x:c>
      <x:c r="F235" s="15" t="n">
        <x:v>2614</x:v>
      </x:c>
      <x:c r="G235" s="15" t="n">
        <x:v>0</x:v>
      </x:c>
    </x:row>
    <x:row r="236" ht="24" customHeight="1">
      <x:c r="A236" s="15" t="str">
        <x:v>guarded_30m</x:v>
      </x:c>
      <x:c r="B236" s="15" t="str">
        <x:v>validation</x:v>
      </x:c>
      <x:c r="C236" s="18" t="d">
        <x:v>2018-03-02T00:00:00.000Z</x:v>
      </x:c>
      <x:c r="D236" s="15" t="n">
        <x:v>124705</x:v>
      </x:c>
      <x:c r="E236" s="15" t="n">
        <x:v>1387</x:v>
      </x:c>
      <x:c r="F236" s="15" t="n">
        <x:v>1659028</x:v>
      </x:c>
      <x:c r="G236" s="15" t="n">
        <x:v>207703</x:v>
      </x:c>
    </x:row>
    <x:row r="237" ht="24" customHeight="1">
      <x:c r="A237" s="15" t="str">
        <x:v>guarded_30m</x:v>
      </x:c>
      <x:c r="B237" s="15" t="str">
        <x:v>test</x:v>
      </x:c>
      <x:c r="C237" s="18" t="d">
        <x:v>2018-02-14T00:00:00.000Z</x:v>
      </x:c>
      <x:c r="D237" s="15" t="n">
        <x:v>6044</x:v>
      </x:c>
      <x:c r="E237" s="15" t="n">
        <x:v>0</x:v>
      </x:c>
      <x:c r="F237" s="15" t="n">
        <x:v>45601</x:v>
      </x:c>
      <x:c r="G237" s="15" t="n">
        <x:v>0</x:v>
      </x:c>
    </x:row>
    <x:row r="238" ht="24" customHeight="1">
      <x:c r="A238" s="15" t="str">
        <x:v>guarded_30m</x:v>
      </x:c>
      <x:c r="B238" s="15" t="str">
        <x:v>test</x:v>
      </x:c>
      <x:c r="C238" s="18" t="d">
        <x:v>2018-02-15T00:00:00.000Z</x:v>
      </x:c>
      <x:c r="D238" s="15" t="n">
        <x:v>13178</x:v>
      </x:c>
      <x:c r="E238" s="15" t="n">
        <x:v>0</x:v>
      </x:c>
      <x:c r="F238" s="15" t="n">
        <x:v>152285</x:v>
      </x:c>
      <x:c r="G238" s="15" t="n">
        <x:v>0</x:v>
      </x:c>
    </x:row>
    <x:row r="239" ht="24" customHeight="1">
      <x:c r="A239" s="15" t="str">
        <x:v>guarded_30m</x:v>
      </x:c>
      <x:c r="B239" s="15" t="str">
        <x:v>test</x:v>
      </x:c>
      <x:c r="C239" s="18" t="d">
        <x:v>2018-02-16T00:00:00.000Z</x:v>
      </x:c>
      <x:c r="D239" s="15" t="n">
        <x:v>11027</x:v>
      </x:c>
      <x:c r="E239" s="15" t="n">
        <x:v>0</x:v>
      </x:c>
      <x:c r="F239" s="15" t="n">
        <x:v>146288</x:v>
      </x:c>
      <x:c r="G239" s="15" t="n">
        <x:v>0</x:v>
      </x:c>
    </x:row>
    <x:row r="240" ht="24" customHeight="1">
      <x:c r="A240" s="15" t="str">
        <x:v>guarded_30m</x:v>
      </x:c>
      <x:c r="B240" s="15" t="str">
        <x:v>test</x:v>
      </x:c>
      <x:c r="C240" s="18" t="d">
        <x:v>2018-02-20T00:00:00.000Z</x:v>
      </x:c>
      <x:c r="D240" s="15" t="n">
        <x:v>31020</x:v>
      </x:c>
      <x:c r="E240" s="15" t="n">
        <x:v>384</x:v>
      </x:c>
      <x:c r="F240" s="15" t="n">
        <x:v>603498</x:v>
      </x:c>
      <x:c r="G240" s="15" t="n">
        <x:v>286370</x:v>
      </x:c>
    </x:row>
    <x:row r="241" ht="24" customHeight="1">
      <x:c r="A241" s="15" t="str">
        <x:v>guarded_30m</x:v>
      </x:c>
      <x:c r="B241" s="15" t="str">
        <x:v>test</x:v>
      </x:c>
      <x:c r="C241" s="18" t="d">
        <x:v>2018-02-21T00:00:00.000Z</x:v>
      </x:c>
      <x:c r="D241" s="15" t="n">
        <x:v>7461</x:v>
      </x:c>
      <x:c r="E241" s="15" t="n">
        <x:v>0</x:v>
      </x:c>
      <x:c r="F241" s="15" t="n">
        <x:v>91075</x:v>
      </x:c>
      <x:c r="G241" s="15" t="n">
        <x:v>0</x:v>
      </x:c>
    </x:row>
    <x:row r="242" ht="24" customHeight="1">
      <x:c r="A242" s="15" t="str">
        <x:v>guarded_30m</x:v>
      </x:c>
      <x:c r="B242" s="15" t="str">
        <x:v>test</x:v>
      </x:c>
      <x:c r="C242" s="18" t="d">
        <x:v>2018-02-23T00:00:00.000Z</x:v>
      </x:c>
      <x:c r="D242" s="15" t="n">
        <x:v>6535</x:v>
      </x:c>
      <x:c r="E242" s="15" t="n">
        <x:v>0</x:v>
      </x:c>
      <x:c r="F242" s="15" t="n">
        <x:v>86350</x:v>
      </x:c>
      <x:c r="G242" s="15" t="n">
        <x:v>0</x:v>
      </x:c>
    </x:row>
    <x:row r="243" ht="24" customHeight="1">
      <x:c r="A243" s="15" t="str">
        <x:v>guarded_30m</x:v>
      </x:c>
      <x:c r="B243" s="15" t="str">
        <x:v>test</x:v>
      </x:c>
      <x:c r="C243" s="18" t="d">
        <x:v>2018-02-27T00:00:00.000Z</x:v>
      </x:c>
      <x:c r="D243" s="15" t="n">
        <x:v>89</x:v>
      </x:c>
      <x:c r="E243" s="15" t="n">
        <x:v>0</x:v>
      </x:c>
      <x:c r="F243" s="15" t="n">
        <x:v>178</x:v>
      </x:c>
      <x:c r="G243" s="15" t="n">
        <x:v>0</x:v>
      </x:c>
    </x:row>
    <x:row r="244" ht="24" customHeight="1">
      <x:c r="A244" s="15" t="str">
        <x:v>guarded_30m</x:v>
      </x:c>
      <x:c r="B244" s="15" t="str">
        <x:v>test</x:v>
      </x:c>
      <x:c r="C244" s="18" t="d">
        <x:v>2018-02-28T00:00:00.000Z</x:v>
      </x:c>
      <x:c r="D244" s="15" t="n">
        <x:v>163225</x:v>
      </x:c>
      <x:c r="E244" s="15" t="n">
        <x:v>3261</x:v>
      </x:c>
      <x:c r="F244" s="15" t="n">
        <x:v>2025595</x:v>
      </x:c>
      <x:c r="G244" s="15" t="n">
        <x:v>84327</x:v>
      </x:c>
    </x:row>
    <x:row r="245" ht="24" customHeight="1">
      <x:c r="A245" s="15" t="str">
        <x:v>guarded_30m</x:v>
      </x:c>
      <x:c r="B245" s="15" t="str">
        <x:v>test</x:v>
      </x:c>
      <x:c r="C245" s="18" t="d">
        <x:v>2018-03-01T00:00:00.000Z</x:v>
      </x:c>
      <x:c r="D245" s="15" t="n">
        <x:v>85</x:v>
      </x:c>
      <x:c r="E245" s="15" t="n">
        <x:v>0</x:v>
      </x:c>
      <x:c r="F245" s="15" t="n">
        <x:v>345</x:v>
      </x:c>
      <x:c r="G245" s="15" t="n">
        <x:v>0</x:v>
      </x:c>
    </x:row>
    <x:row r="246" ht="24" customHeight="1">
      <x:c r="A246" s="15" t="str">
        <x:v>guarded_30m</x:v>
      </x:c>
      <x:c r="B246" s="15" t="str">
        <x:v>excluded</x:v>
      </x:c>
      <x:c r="C246" s="18" t="d">
        <x:v>2018-02-14T00:00:00.000Z</x:v>
      </x:c>
      <x:c r="D246" s="15" t="n">
        <x:v>3626</x:v>
      </x:c>
      <x:c r="E246" s="15" t="n">
        <x:v>0</x:v>
      </x:c>
      <x:c r="F246" s="15" t="n">
        <x:v>50337</x:v>
      </x:c>
      <x:c r="G246" s="15" t="n">
        <x:v>0</x:v>
      </x:c>
    </x:row>
    <x:row r="247" ht="24" customHeight="1">
      <x:c r="A247" s="15" t="str">
        <x:v>guarded_30m</x:v>
      </x:c>
      <x:c r="B247" s="15" t="str">
        <x:v>excluded</x:v>
      </x:c>
      <x:c r="C247" s="18" t="d">
        <x:v>2018-02-15T00:00:00.000Z</x:v>
      </x:c>
      <x:c r="D247" s="15" t="n">
        <x:v>10355</x:v>
      </x:c>
      <x:c r="E247" s="15" t="n">
        <x:v>0</x:v>
      </x:c>
      <x:c r="F247" s="15" t="n">
        <x:v>166663</x:v>
      </x:c>
      <x:c r="G247" s="15" t="n">
        <x:v>0</x:v>
      </x:c>
    </x:row>
    <x:row r="248" ht="24" customHeight="1">
      <x:c r="A248" s="15" t="str">
        <x:v>guarded_30m</x:v>
      </x:c>
      <x:c r="B248" s="15" t="str">
        <x:v>excluded</x:v>
      </x:c>
      <x:c r="C248" s="18" t="d">
        <x:v>2018-02-16T00:00:00.000Z</x:v>
      </x:c>
      <x:c r="D248" s="15" t="n">
        <x:v>10666</x:v>
      </x:c>
      <x:c r="E248" s="15" t="n">
        <x:v>3</x:v>
      </x:c>
      <x:c r="F248" s="15" t="n">
        <x:v>203846</x:v>
      </x:c>
      <x:c r="G248" s="15" t="n">
        <x:v>24436</x:v>
      </x:c>
    </x:row>
    <x:row r="249" ht="24" customHeight="1">
      <x:c r="A249" s="15" t="str">
        <x:v>guarded_30m</x:v>
      </x:c>
      <x:c r="B249" s="15" t="str">
        <x:v>excluded</x:v>
      </x:c>
      <x:c r="C249" s="18" t="d">
        <x:v>2018-02-20T00:00:00.000Z</x:v>
      </x:c>
      <x:c r="D249" s="15" t="n">
        <x:v>9261</x:v>
      </x:c>
      <x:c r="E249" s="15" t="n">
        <x:v>21</x:v>
      </x:c>
      <x:c r="F249" s="15" t="n">
        <x:v>140102</x:v>
      </x:c>
      <x:c r="G249" s="15" t="n">
        <x:v>190</x:v>
      </x:c>
    </x:row>
    <x:row r="250" ht="24" customHeight="1">
      <x:c r="A250" s="15" t="str">
        <x:v>guarded_30m</x:v>
      </x:c>
      <x:c r="B250" s="15" t="str">
        <x:v>excluded</x:v>
      </x:c>
      <x:c r="C250" s="18" t="d">
        <x:v>2018-02-21T00:00:00.000Z</x:v>
      </x:c>
      <x:c r="D250" s="15" t="n">
        <x:v>5384</x:v>
      </x:c>
      <x:c r="E250" s="15" t="n">
        <x:v>0</x:v>
      </x:c>
      <x:c r="F250" s="15" t="n">
        <x:v>95377</x:v>
      </x:c>
      <x:c r="G250" s="15" t="n">
        <x:v>0</x:v>
      </x:c>
    </x:row>
    <x:row r="251" ht="24" customHeight="1">
      <x:c r="A251" s="15" t="str">
        <x:v>guarded_30m</x:v>
      </x:c>
      <x:c r="B251" s="15" t="str">
        <x:v>excluded</x:v>
      </x:c>
      <x:c r="C251" s="18" t="d">
        <x:v>2018-02-22T00:00:00.000Z</x:v>
      </x:c>
      <x:c r="D251" s="15" t="n">
        <x:v>724</x:v>
      </x:c>
      <x:c r="E251" s="15" t="n">
        <x:v>7</x:v>
      </x:c>
      <x:c r="F251" s="15" t="n">
        <x:v>12624</x:v>
      </x:c>
      <x:c r="G251" s="15" t="n">
        <x:v>10</x:v>
      </x:c>
    </x:row>
    <x:row r="252" ht="24" customHeight="1">
      <x:c r="A252" s="15" t="str">
        <x:v>guarded_30m</x:v>
      </x:c>
      <x:c r="B252" s="15" t="str">
        <x:v>excluded</x:v>
      </x:c>
      <x:c r="C252" s="18" t="d">
        <x:v>2018-02-23T00:00:00.000Z</x:v>
      </x:c>
      <x:c r="D252" s="15" t="n">
        <x:v>4930</x:v>
      </x:c>
      <x:c r="E252" s="15" t="n">
        <x:v>0</x:v>
      </x:c>
      <x:c r="F252" s="15" t="n">
        <x:v>91662</x:v>
      </x:c>
      <x:c r="G252" s="15" t="n">
        <x:v>0</x:v>
      </x:c>
    </x:row>
    <x:row r="253" ht="24" customHeight="1">
      <x:c r="A253" s="15" t="str">
        <x:v>guarded_30m</x:v>
      </x:c>
      <x:c r="B253" s="15" t="str">
        <x:v>excluded</x:v>
      </x:c>
      <x:c r="C253" s="18" t="d">
        <x:v>2018-02-27T00:00:00.000Z</x:v>
      </x:c>
      <x:c r="D253" s="15" t="n">
        <x:v>40</x:v>
      </x:c>
      <x:c r="E253" s="15" t="n">
        <x:v>0</x:v>
      </x:c>
      <x:c r="F253" s="15" t="n">
        <x:v>105</x:v>
      </x:c>
      <x:c r="G253" s="15" t="n">
        <x:v>0</x:v>
      </x:c>
    </x:row>
    <x:row r="254" ht="24" customHeight="1">
      <x:c r="A254" s="15" t="str">
        <x:v>guarded_30m</x:v>
      </x:c>
      <x:c r="B254" s="15" t="str">
        <x:v>excluded</x:v>
      </x:c>
      <x:c r="C254" s="18" t="d">
        <x:v>2018-02-28T00:00:00.000Z</x:v>
      </x:c>
      <x:c r="D254" s="15" t="n">
        <x:v>290</x:v>
      </x:c>
      <x:c r="E254" s="15" t="n">
        <x:v>0</x:v>
      </x:c>
      <x:c r="F254" s="15" t="n">
        <x:v>3847</x:v>
      </x:c>
      <x:c r="G254" s="15" t="n">
        <x:v>0</x:v>
      </x:c>
    </x:row>
    <x:row r="255" ht="24" customHeight="1">
      <x:c r="A255" s="15" t="str">
        <x:v>guarded_30m</x:v>
      </x:c>
      <x:c r="B255" s="15" t="str">
        <x:v>excluded</x:v>
      </x:c>
      <x:c r="C255" s="18" t="d">
        <x:v>2018-03-01T00:00:00.000Z</x:v>
      </x:c>
      <x:c r="D255" s="15" t="n">
        <x:v>415</x:v>
      </x:c>
      <x:c r="E255" s="15" t="n">
        <x:v>2</x:v>
      </x:c>
      <x:c r="F255" s="15" t="n">
        <x:v>12538</x:v>
      </x:c>
      <x:c r="G255" s="15" t="n">
        <x:v>42</x:v>
      </x:c>
    </x:row>
    <x:row r="256" ht="24" customHeight="1">
      <x:c r="A256" s="15" t="str">
        <x:v>guarded_30m</x:v>
      </x:c>
      <x:c r="B256" s="15" t="str">
        <x:v>excluded</x:v>
      </x:c>
      <x:c r="C256" s="18" t="d">
        <x:v>2018-03-02T00:00:00.000Z</x:v>
      </x:c>
      <x:c r="D256" s="15" t="n">
        <x:v>3534</x:v>
      </x:c>
      <x:c r="E256" s="15" t="n">
        <x:v>0</x:v>
      </x:c>
      <x:c r="F256" s="15" t="n">
        <x:v>57657</x:v>
      </x:c>
      <x:c r="G256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5cdc4227b344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Measured separation diagnostics after exclusions; no zero proves campaign independence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56" customHeight="1">
      <x:c r="A4" s="12" t="str">
        <x:v>Candidate</x:v>
      </x:c>
      <x:c r="B4" s="13" t="str">
        <x:v>Shared global 100s</x:v>
      </x:c>
      <x:c r="C4" s="13" t="str">
        <x:v>Adjacent source pairs crossing sets</x:v>
      </x:c>
      <x:c r="D4" s="13" t="str">
        <x:v>Interval overlap windows</x:v>
      </x:c>
      <x:c r="E4" s="13" t="str">
        <x:v>Shared train/test sources</x:v>
      </x:c>
      <x:c r="F4" s="13" t="str">
        <x:v>Cross episodes: 60s</x:v>
      </x:c>
      <x:c r="G4" s="13" t="str">
        <x:v>Cross episodes: 300s</x:v>
      </x:c>
      <x:c r="H4" s="13" t="str">
        <x:v>Cross episodes: 900s</x:v>
      </x:c>
      <x:c r="I4" s="13" t="str">
        <x:v>Train/test episodes: 300s</x:v>
      </x:c>
      <x:c r="J4" s="13" t="str">
        <x:v>Retained sequences</x:v>
      </x:c>
      <x:c r="K4" s="13" t="str">
        <x:v>Excluded sequences</x:v>
      </x:c>
      <x:c r="L4" s="13" t="str">
        <x:v>Embargo exclusions</x:v>
      </x:c>
      <x:c r="M4" s="13" t="str">
        <x:v>Interval exclusions</x:v>
      </x:c>
      <x:c r="N4" s="14" t="str">
        <x:v>Fold transitions</x:v>
      </x:c>
    </x:row>
    <x:row r="5" ht="24" customHeight="1">
      <x:c r="A5" s="15" t="str">
        <x:v>random_100s</x:v>
      </x:c>
      <x:c r="B5" s="15" t="n">
        <x:v>3849</x:v>
      </x:c>
      <x:c r="C5" s="15" t="n">
        <x:v>394724</x:v>
      </x:c>
      <x:c r="D5" s="15" t="n">
        <x:v>1466494</x:v>
      </x:c>
      <x:c r="E5" s="15" t="n">
        <x:v>43830</x:v>
      </x:c>
      <x:c r="F5" s="15" t="n">
        <x:v>307</x:v>
      </x:c>
      <x:c r="G5" s="15" t="n">
        <x:v>18</x:v>
      </x:c>
      <x:c r="H5" s="15" t="n">
        <x:v>16</x:v>
      </x:c>
      <x:c r="I5" s="15" t="n">
        <x:v>18</x:v>
      </x:c>
      <x:c r="J5" s="15" t="n">
        <x:v>1466665</x:v>
      </x:c>
      <x:c r="K5" s="15" t="n">
        <x:v>0</x:v>
      </x:c>
      <x:c r="L5" s="15" t="n">
        <x:v>0</x:v>
      </x:c>
      <x:c r="M5" s="15" t="n">
        <x:v>0</x:v>
      </x:c>
      <x:c r="N5" s="15" t="str">
        <x:v>n.a.</x:v>
      </x:c>
    </x:row>
    <x:row r="6" ht="24" customHeight="1">
      <x:c r="A6" s="15" t="str">
        <x:v>chronological</x:v>
      </x:c>
      <x:c r="B6" s="15" t="n">
        <x:v>0</x:v>
      </x:c>
      <x:c r="C6" s="15" t="n">
        <x:v>0</x:v>
      </x:c>
      <x:c r="D6" s="15" t="n">
        <x:v>0</x:v>
      </x:c>
      <x:c r="E6" s="15" t="n">
        <x:v>11050</x:v>
      </x:c>
      <x:c r="F6" s="15" t="n">
        <x:v>1</x:v>
      </x:c>
      <x:c r="G6" s="15" t="n">
        <x:v>1</x:v>
      </x:c>
      <x:c r="H6" s="15" t="n">
        <x:v>1</x:v>
      </x:c>
      <x:c r="I6" s="15" t="n">
        <x:v>0</x:v>
      </x:c>
      <x:c r="J6" s="15" t="n">
        <x:v>1464457</x:v>
      </x:c>
      <x:c r="K6" s="15" t="n">
        <x:v>2208</x:v>
      </x:c>
      <x:c r="L6" s="15" t="n">
        <x:v>2208</x:v>
      </x:c>
      <x:c r="M6" s="15" t="n">
        <x:v>297</x:v>
      </x:c>
      <x:c r="N6" s="15" t="n">
        <x:v>2</x:v>
      </x:c>
    </x:row>
    <x:row r="7" ht="24" customHeight="1">
      <x:c r="A7" s="15" t="str">
        <x:v>day_chronological</x:v>
      </x:c>
      <x:c r="B7" s="15" t="n">
        <x:v>0</x:v>
      </x:c>
      <x:c r="C7" s="15" t="n">
        <x:v>0</x:v>
      </x:c>
      <x:c r="D7" s="15" t="n">
        <x:v>0</x:v>
      </x:c>
      <x:c r="E7" s="15" t="n">
        <x:v>11036</x:v>
      </x:c>
      <x:c r="F7" s="15" t="n">
        <x:v>0</x:v>
      </x:c>
      <x:c r="G7" s="15" t="n">
        <x:v>0</x:v>
      </x:c>
      <x:c r="H7" s="15" t="n">
        <x:v>0</x:v>
      </x:c>
      <x:c r="I7" s="15" t="n">
        <x:v>0</x:v>
      </x:c>
      <x:c r="J7" s="15" t="n">
        <x:v>1466289</x:v>
      </x:c>
      <x:c r="K7" s="15" t="n">
        <x:v>376</x:v>
      </x:c>
      <x:c r="L7" s="15" t="n">
        <x:v>376</x:v>
      </x:c>
      <x:c r="M7" s="15" t="n">
        <x:v>4</x:v>
      </x:c>
      <x:c r="N7" s="15" t="n">
        <x:v>2</x:v>
      </x:c>
    </x:row>
    <x:row r="8" ht="24" customHeight="1">
      <x:c r="A8" s="15" t="str">
        <x:v>day_shuffled</x:v>
      </x:c>
      <x:c r="B8" s="15" t="n">
        <x:v>0</x:v>
      </x:c>
      <x:c r="C8" s="15" t="n">
        <x:v>0</x:v>
      </x:c>
      <x:c r="D8" s="15" t="n">
        <x:v>0</x:v>
      </x:c>
      <x:c r="E8" s="15" t="n">
        <x:v>14690</x:v>
      </x:c>
      <x:c r="F8" s="15" t="n">
        <x:v>0</x:v>
      </x:c>
      <x:c r="G8" s="15" t="n">
        <x:v>0</x:v>
      </x:c>
      <x:c r="H8" s="15" t="n">
        <x:v>0</x:v>
      </x:c>
      <x:c r="I8" s="15" t="n">
        <x:v>0</x:v>
      </x:c>
      <x:c r="J8" s="15" t="n">
        <x:v>1466480</x:v>
      </x:c>
      <x:c r="K8" s="15" t="n">
        <x:v>185</x:v>
      </x:c>
      <x:c r="L8" s="15" t="n">
        <x:v>185</x:v>
      </x:c>
      <x:c r="M8" s="15" t="n">
        <x:v>5</x:v>
      </x:c>
      <x:c r="N8" s="15" t="n">
        <x:v>6</x:v>
      </x:c>
    </x:row>
    <x:row r="9" ht="24" customHeight="1">
      <x:c r="A9" s="15" t="str">
        <x:v>blocks_15m</x:v>
      </x:c>
      <x:c r="B9" s="15" t="n">
        <x:v>0</x:v>
      </x:c>
      <x:c r="C9" s="15" t="n">
        <x:v>0</x:v>
      </x:c>
      <x:c r="D9" s="15" t="n">
        <x:v>0</x:v>
      </x:c>
      <x:c r="E9" s="15" t="n">
        <x:v>31647</x:v>
      </x:c>
      <x:c r="F9" s="15" t="n">
        <x:v>19</x:v>
      </x:c>
      <x:c r="G9" s="15" t="n">
        <x:v>11</x:v>
      </x:c>
      <x:c r="H9" s="15" t="n">
        <x:v>11</x:v>
      </x:c>
      <x:c r="I9" s="15" t="n">
        <x:v>9</x:v>
      </x:c>
      <x:c r="J9" s="15" t="n">
        <x:v>1246804</x:v>
      </x:c>
      <x:c r="K9" s="15" t="n">
        <x:v>219861</x:v>
      </x:c>
      <x:c r="L9" s="15" t="n">
        <x:v>219861</x:v>
      </x:c>
      <x:c r="M9" s="15" t="n">
        <x:v>28877</x:v>
      </x:c>
      <x:c r="N9" s="15" t="n">
        <x:v>291</x:v>
      </x:c>
    </x:row>
    <x:row r="10" ht="24" customHeight="1">
      <x:c r="A10" s="15" t="str">
        <x:v>blocks_30m</x:v>
      </x:c>
      <x:c r="B10" s="15" t="n">
        <x:v>0</x:v>
      </x:c>
      <x:c r="C10" s="15" t="n">
        <x:v>0</x:v>
      </x:c>
      <x:c r="D10" s="15" t="n">
        <x:v>0</x:v>
      </x:c>
      <x:c r="E10" s="15" t="n">
        <x:v>32469</x:v>
      </x:c>
      <x:c r="F10" s="15" t="n">
        <x:v>15</x:v>
      </x:c>
      <x:c r="G10" s="15" t="n">
        <x:v>12</x:v>
      </x:c>
      <x:c r="H10" s="15" t="n">
        <x:v>12</x:v>
      </x:c>
      <x:c r="I10" s="15" t="n">
        <x:v>10</x:v>
      </x:c>
      <x:c r="J10" s="15" t="n">
        <x:v>1347700</x:v>
      </x:c>
      <x:c r="K10" s="15" t="n">
        <x:v>118965</x:v>
      </x:c>
      <x:c r="L10" s="15" t="n">
        <x:v>118965</x:v>
      </x:c>
      <x:c r="M10" s="15" t="n">
        <x:v>15793</x:v>
      </x:c>
      <x:c r="N10" s="15" t="n">
        <x:v>160</x:v>
      </x:c>
    </x:row>
    <x:row r="11" ht="24" customHeight="1">
      <x:c r="A11" s="15" t="str">
        <x:v>blocks_60m</x:v>
      </x:c>
      <x:c r="B11" s="15" t="n">
        <x:v>0</x:v>
      </x:c>
      <x:c r="C11" s="15" t="n">
        <x:v>0</x:v>
      </x:c>
      <x:c r="D11" s="15" t="n">
        <x:v>0</x:v>
      </x:c>
      <x:c r="E11" s="15" t="n">
        <x:v>28351</x:v>
      </x:c>
      <x:c r="F11" s="15" t="n">
        <x:v>10</x:v>
      </x:c>
      <x:c r="G11" s="15" t="n">
        <x:v>10</x:v>
      </x:c>
      <x:c r="H11" s="15" t="n">
        <x:v>11</x:v>
      </x:c>
      <x:c r="I11" s="15" t="n">
        <x:v>4</x:v>
      </x:c>
      <x:c r="J11" s="15" t="n">
        <x:v>1410823</x:v>
      </x:c>
      <x:c r="K11" s="15" t="n">
        <x:v>55842</x:v>
      </x:c>
      <x:c r="L11" s="15" t="n">
        <x:v>55842</x:v>
      </x:c>
      <x:c r="M11" s="15" t="n">
        <x:v>7449</x:v>
      </x:c>
      <x:c r="N11" s="15" t="n">
        <x:v>77</x:v>
      </x:c>
    </x:row>
    <x:row r="12" ht="24" customHeight="1">
      <x:c r="A12" s="15" t="str">
        <x:v>guarded_30m</x:v>
      </x:c>
      <x:c r="B12" s="15" t="n">
        <x:v>0</x:v>
      </x:c>
      <x:c r="C12" s="15" t="n">
        <x:v>0</x:v>
      </x:c>
      <x:c r="D12" s="15" t="n">
        <x:v>0</x:v>
      </x:c>
      <x:c r="E12" s="15" t="n">
        <x:v>19515</x:v>
      </x:c>
      <x:c r="F12" s="15" t="n">
        <x:v>0</x:v>
      </x:c>
      <x:c r="G12" s="15" t="n">
        <x:v>0</x:v>
      </x:c>
      <x:c r="H12" s="15" t="n">
        <x:v>0</x:v>
      </x:c>
      <x:c r="I12" s="15" t="n">
        <x:v>0</x:v>
      </x:c>
      <x:c r="J12" s="15" t="n">
        <x:v>1417440</x:v>
      </x:c>
      <x:c r="K12" s="15" t="n">
        <x:v>49225</x:v>
      </x:c>
      <x:c r="L12" s="15" t="n">
        <x:v>49225</x:v>
      </x:c>
      <x:c r="M12" s="15" t="n">
        <x:v>6470</x:v>
      </x:c>
      <x:c r="N12" s="15" t="n">
        <x:v>104</x:v>
      </x:c>
    </x:row>
  </x:sheetData>
  <x:conditionalFormatting sqref="B5:B12">
    <x:cfRule type="cellIs" dxfId="3" priority="1" operator="greaterThan">
      <x:formula>0</x:formula>
    </x:cfRule>
  </x:conditionalFormatting>
  <x:conditionalFormatting sqref="C5:C12">
    <x:cfRule type="cellIs" dxfId="4" priority="2" operator="greaterThan">
      <x:formula>0</x:formula>
    </x:cfRule>
  </x:conditionalFormatting>
  <x:conditionalFormatting sqref="D5:D12">
    <x:cfRule type="cellIs" dxfId="5" priority="3" operator="greaterThan">
      <x:formula>0</x:formula>
    </x:cfRule>
  </x:conditionalFormatting>
  <x:conditionalFormatting sqref="F5:F12">
    <x:cfRule type="cellIs" dxfId="6" priority="4" operator="greaterThan">
      <x:formula>0</x:formula>
    </x:cfRule>
  </x:conditionalFormatting>
  <x:conditionalFormatting sqref="G5:G12">
    <x:cfRule type="cellIs" dxfId="7" priority="5" operator="greaterThan">
      <x:formula>0</x:formula>
    </x:cfRule>
  </x:conditionalFormatting>
  <x:conditionalFormatting sqref="H5:H12">
    <x:cfRule type="cellIs" dxfId="8" priority="6" operator="greaterThan">
      <x:formula>0</x:formula>
    </x:cfRule>
  </x:conditionalFormatting>
  <x:conditionalFormatting sqref="I5:I12">
    <x:cfRule type="cellIs" dxfId="9" priority="7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01578f14da4719"/>
  </x:tableParts>
</x:worksheet>
</file>

<file path=xl/worksheets/sheet8.xml><?xml version="1.0" encoding="utf-8"?>
<x:worksheet xmlns:x="http://schemas.openxmlformats.org/spreadsheetml/2006/main">
  <x:sheetPr>
    <x:tabColor rgb="FFB1BAC4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9" hidden="0" customWidth="1"/>
    <x:col min="2" max="2" width="112" hidden="0" customWidth="1"/>
  </x:cols>
  <x:sheetData>
    <x:row r="1" ht="24" customHeight="1">
      <x:c r="A1" s="2"/>
      <x:c r="B1" s="2"/>
    </x:row>
    <x:row r="2" ht="24" customHeight="1">
      <x:c r="A2" s="3" t="str">
        <x:v>Definitions, sources and reproducibility</x:v>
      </x:c>
      <x:c r="B2" s="2"/>
    </x:row>
    <x:row r="3" ht="24" customHeight="1">
      <x:c r="A3" s="2"/>
      <x:c r="B3" s="2"/>
    </x:row>
    <x:row r="4" ht="56" customHeight="1">
      <x:c r="A4" s="12" t="str">
        <x:v>Item</x:v>
      </x:c>
      <x:c r="B4" s="14" t="str">
        <x:v>Definition or value</x:v>
      </x:c>
    </x:row>
    <x:row r="5" ht="42" customHeight="1">
      <x:c r="A5" s="15" t="str">
        <x:v>Dataset</x:v>
      </x:c>
      <x:c r="B5" s="23" t="str">
        <x:v>NF-CICIDS2018-v3</x:v>
      </x:c>
    </x:row>
    <x:row r="6" ht="42" customHeight="1">
      <x:c r="A6" s="15" t="str">
        <x:v>Raw source</x:v>
      </x:c>
      <x:c r="B6" s="23" t="str">
        <x:v>Local datasets/cic_2018_traffic.db, network_flows</x:v>
      </x:c>
    </x:row>
    <x:row r="7" ht="42" customHeight="1">
      <x:c r="A7" s="15" t="str">
        <x:v>Catalog source</x:v>
      </x:c>
      <x:c r="B7" s="23" t="str">
        <x:v>EDA 02 windows_100s.csv.gz; full catalog, no sampling</x:v>
      </x:c>
    </x:row>
    <x:row r="8" ht="42" customHeight="1">
      <x:c r="A8" s="15" t="str">
        <x:v>Raw flows reconciled</x:v>
      </x:c>
      <x:c r="B8" s="23" t="n">
        <x:v>20115529</x:v>
      </x:c>
    </x:row>
    <x:row r="9" ht="42" customHeight="1">
      <x:c r="A9" s="15" t="str">
        <x:v>Attack flows reconciled</x:v>
      </x:c>
      <x:c r="B9" s="23" t="n">
        <x:v>2600903</x:v>
      </x:c>
    </x:row>
    <x:row r="10" ht="42" customHeight="1">
      <x:c r="A10" s="15" t="str">
        <x:v>Original sequences</x:v>
      </x:c>
      <x:c r="B10" s="23" t="n">
        <x:v>1466665</x:v>
      </x:c>
    </x:row>
    <x:row r="11" ht="42" customHeight="1">
      <x:c r="A11" s="15" t="str">
        <x:v>Seed</x:v>
      </x:c>
      <x:c r="B11" s="23" t="n">
        <x:v>4266</x:v>
      </x:c>
    </x:row>
    <x:row r="12" ht="42" customHeight="1">
      <x:c r="A12" s="15" t="str">
        <x:v>Target proportions</x:v>
      </x:c>
      <x:c r="B12" s="23" t="str">
        <x:v>60/20/20 of original sequence counts; groups are indivisible</x:v>
      </x:c>
    </x:row>
    <x:row r="13" ht="42" customHeight="1">
      <x:c r="A13" s="15" t="str">
        <x:v>Episode rule</x:v>
      </x:c>
      <x:c r="B13" s="23" t="str">
        <x:v>For one attack type, combine all sources; start a new episode after a gap &gt; threshold or at UTC midnight.</x:v>
      </x:c>
    </x:row>
    <x:row r="14" ht="42" customHeight="1">
      <x:c r="A14" s="15" t="str">
        <x:v>Gap sensitivity</x:v>
      </x:c>
      <x:c r="B14" s="23" t="str">
        <x:v>60, 300 and 900 seconds; activity bins are 10s with exact first/last attack starts.</x:v>
      </x:c>
    </x:row>
    <x:row r="15" ht="42" customHeight="1">
      <x:c r="A15" s="15" t="str">
        <x:v>Episode meaning</x:v>
      </x:c>
      <x:c r="B15" s="23" t="str">
        <x:v>Candidate contiguous activity only. Similarity, independence and campaign identity are unverified.</x:v>
      </x:c>
    </x:row>
    <x:row r="16" ht="42" customHeight="1">
      <x:c r="A16" s="15" t="str">
        <x:v>Group randomization</x:v>
      </x:c>
      <x:c r="B16" s="23" t="str">
        <x:v>Sorted groups, NumPy default_rng(seed) permutation, cuts nearest cumulative 60/80% sequence mass. No label-based search.</x:v>
      </x:c>
    </x:row>
    <x:row r="17" ht="42" customHeight="1">
      <x:c r="A17" s="15" t="str">
        <x:v>Chronological weighting</x:v>
      </x:c>
      <x:c r="B17" s="23" t="str">
        <x:v>Cut by cumulative observed sequence count, not elapsed calendar time; all sources at one time stay together.</x:v>
      </x:c>
    </x:row>
    <x:row r="18" ht="42" customHeight="1">
      <x:c r="A18" s="15" t="str">
        <x:v>Guarded 30min groups</x:v>
      </x:c>
      <x:c r="B18" s="23" t="str">
        <x:v>Union every observed global 30min block between the first and last attack starts of each 300s-gap episode.</x:v>
      </x:c>
    </x:row>
    <x:row r="19" ht="42" customHeight="1">
      <x:c r="A19" s="15" t="str">
        <x:v>Boundary guard</x:v>
      </x:c>
      <x:c r="B19" s="23" t="str">
        <x:v>100s before and after each change in assigned global fold; exclude complete intersecting windows.</x:v>
      </x:c>
    </x:row>
    <x:row r="20" ht="42" customHeight="1">
      <x:c r="A20" s="15" t="str">
        <x:v>Long flows</x:v>
      </x:c>
      <x:c r="B20" s="23" t="str">
        <x:v>Also exclude a window if [first flow start, maximum actual flow end] overlaps another fold's assigned 100s window. Conservative envelope.</x:v>
      </x:c>
    </x:row>
    <x:row r="21" ht="42" customHeight="1">
      <x:c r="A21" s="15" t="str">
        <x:v>Interval diagnostic</x:v>
      </x:c>
      <x:c r="B21" s="23" t="str">
        <x:v>Overlapping envelopes are temporal dependence risks, not proof of duplicate packets. Inclusive flow ends are respected.</x:v>
      </x:c>
    </x:row>
    <x:row r="22" ht="42" customHeight="1">
      <x:c r="A22" s="15" t="str">
        <x:v>Episode coverage</x:v>
      </x:c>
      <x:c r="B22" s="23" t="str">
        <x:v>Episode counts and attack-window counts may repeat across types or thresholds; do not sum them as unique sequences.</x:v>
      </x:c>
    </x:row>
    <x:row r="23" ht="42" customHeight="1">
      <x:c r="A23" s="15" t="str">
        <x:v>Source overlap</x:v>
      </x:c>
      <x:c r="B23" s="23" t="str">
        <x:v>Descriptive; same source across sets is allowed in a same-environment evaluation. It is not itself a failed leakage check.</x:v>
      </x:c>
    </x:row>
    <x:row r="24" ht="42" customHeight="1">
      <x:c r="A24" s="15" t="str">
        <x:v>Exact duplicate content</x:v>
      </x:c>
      <x:c r="B24" s="23" t="str">
        <x:v>Not audited. Different raw row IDs can contain duplicate content; no zero-leakage claim is made.</x:v>
      </x:c>
    </x:row>
    <x:row r="25" ht="42" customHeight="1">
      <x:c r="A25" s="15" t="str">
        <x:v>Fitting and synthesis</x:v>
      </x:c>
      <x:c r="B25" s="23" t="str">
        <x:v>None. No vocabulary/scaler/model fit; no superposition; validation and test are unmodified real observations except exclusions.</x:v>
      </x:c>
    </x:row>
    <x:row r="26" ht="42" customHeight="1">
      <x:c r="A26" s="15" t="str">
        <x:v>Final split</x:v>
      </x:c>
      <x:c r="B26" s="23" t="str">
        <x:v>Not selected or frozen by this EDA. Candidate manifests stay in ignored outputs.</x:v>
      </x:c>
    </x:row>
    <x:row r="27" ht="42" customHeight="1">
      <x:c r="A27" s="15" t="str">
        <x:v>Runtime (s)</x:v>
      </x:c>
      <x:c r="B27" s="23" t="n">
        <x:v>54.95</x:v>
      </x:c>
    </x:row>
    <x:row r="28" ht="42" customHeight="1">
      <x:c r="A28" s="15" t="str">
        <x:v>Script SHA256</x:v>
      </x:c>
      <x:c r="B28" s="23" t="str">
        <x:v>9753287df358dcdcfa08c1cb9234a9f4a5106076381074f17db17dd58fba340a</x:v>
      </x:c>
    </x:row>
    <x:row r="29" ht="42" customHeight="1">
      <x:c r="A29" s="15" t="str">
        <x:v>random_100s</x:v>
      </x:c>
      <x:c r="B29" s="23" t="str">
        <x:v>Current builder baseline; label-stratified windows; no purge</x:v>
      </x:c>
    </x:row>
    <x:row r="30" ht="42" customHeight="1">
      <x:c r="A30" s="15" t="str">
        <x:v>chronological</x:v>
      </x:c>
      <x:c r="B30" s="23" t="str">
        <x:v>Global 100s times in order; cuts nearest 60/80% sequence mass</x:v>
      </x:c>
    </x:row>
    <x:row r="31" ht="42" customHeight="1">
      <x:c r="A31" s="15" t="str">
        <x:v>day_chronological</x:v>
      </x:c>
      <x:c r="B31" s="23" t="str">
        <x:v>Whole UTC dates; chronological order</x:v>
      </x:c>
    </x:row>
    <x:row r="32" ht="42" customHeight="1">
      <x:c r="A32" s="15" t="str">
        <x:v>day_shuffled</x:v>
      </x:c>
      <x:c r="B32" s="23" t="str">
        <x:v>Whole UTC dates; seeded order</x:v>
      </x:c>
    </x:row>
    <x:row r="33" ht="42" customHeight="1">
      <x:c r="A33" s="15" t="str">
        <x:v>blocks_15m</x:v>
      </x:c>
      <x:c r="B33" s="23" t="str">
        <x:v>Whole global 15min blocks; seeded order; no label stratification</x:v>
      </x:c>
    </x:row>
    <x:row r="34" ht="42" customHeight="1">
      <x:c r="A34" s="15" t="str">
        <x:v>blocks_30m</x:v>
      </x:c>
      <x:c r="B34" s="23" t="str">
        <x:v>Whole global 30min blocks; seeded order; no label stratification</x:v>
      </x:c>
    </x:row>
    <x:row r="35" ht="42" customHeight="1">
      <x:c r="A35" s="15" t="str">
        <x:v>blocks_60m</x:v>
      </x:c>
      <x:c r="B35" s="23" t="str">
        <x:v>Whole global 60min blocks; seeded order; no label stratification</x:v>
      </x:c>
    </x:row>
    <x:row r="36" ht="42" customHeight="1">
      <x:c r="A36" s="15" t="str">
        <x:v>guarded_30m</x:v>
      </x:c>
      <x:c r="B36" s="23" t="str">
        <x:v>Global 30min blocks unioned across each 300s-gap attack episode; seeded order</x:v>
      </x:c>
    </x:row>
  </x:sheetData>
  <x:pageMargins left="0.7" right="0.7" top="0.75" bottom="0.75" header="0.3" footer="0.3"/>
  <x:tableParts count="1">
    <x:tablePart xmlns:r="http://schemas.openxmlformats.org/officeDocument/2006/relationships" r:id="Rc170a20b17894b6b"/>
  </x:tableParts>
</x:worksheet>
</file>